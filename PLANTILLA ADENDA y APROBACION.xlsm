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ctrlProps/ctrlProp1.xml" ContentType="application/vnd.ms-excel.controlproperties+xml"/>
  <Override PartName="/xl/drawings/drawing2.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3.xml" ContentType="application/vnd.openxmlformats-officedocument.drawing+xml"/>
  <Override PartName="/xl/activeX/activeX45.xml" ContentType="application/vnd.ms-office.activeX+xml"/>
  <Override PartName="/xl/activeX/activeX45.bin" ContentType="application/vnd.ms-office.activeX"/>
  <Override PartName="/xl/drawings/drawing4.xml" ContentType="application/vnd.openxmlformats-officedocument.drawing+xml"/>
  <Override PartName="/xl/activeX/activeX46.xml" ContentType="application/vnd.ms-office.activeX+xml"/>
  <Override PartName="/xl/activeX/activeX46.bin" ContentType="application/vnd.ms-office.activeX"/>
  <Override PartName="/xl/drawings/drawing5.xml" ContentType="application/vnd.openxmlformats-officedocument.drawing+xml"/>
  <Override PartName="/xl/activeX/activeX47.xml" ContentType="application/vnd.ms-office.activeX+xml"/>
  <Override PartName="/xl/activeX/activeX4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C:\Zona Trabajo\Excel Macro\Generador-Adendas-Aprobaciones\"/>
    </mc:Choice>
  </mc:AlternateContent>
  <xr:revisionPtr revIDLastSave="0" documentId="13_ncr:1_{2B62779E-C370-4B0E-B7AA-FE24FC34FC96}" xr6:coauthVersionLast="45" xr6:coauthVersionMax="45" xr10:uidLastSave="{00000000-0000-0000-0000-000000000000}"/>
  <bookViews>
    <workbookView xWindow="28680" yWindow="-45" windowWidth="29040" windowHeight="15840" xr2:uid="{00000000-000D-0000-FFFF-FFFF00000000}"/>
  </bookViews>
  <sheets>
    <sheet name="CHECK" sheetId="11" r:id="rId1"/>
    <sheet name="INICIO" sheetId="3" state="hidden" r:id="rId2"/>
    <sheet name="HISTORICO" sheetId="4" state="hidden" r:id="rId3"/>
    <sheet name="HISTORICO_TEMP" sheetId="5" state="hidden" r:id="rId4"/>
    <sheet name="ADENDA" sheetId="1" state="hidden" r:id="rId5"/>
    <sheet name="APROB FUNCIONARIO" sheetId="2" state="hidden" r:id="rId6"/>
    <sheet name="APROB CONSEJO" sheetId="7" state="hidden" r:id="rId7"/>
    <sheet name="APROB COMITE" sheetId="10" state="hidden" r:id="rId8"/>
  </sheets>
  <functionGroups builtInGroupCount="19"/>
  <definedNames>
    <definedName name="ADENDA_DIRECCION_C">ADENDA!$I$45</definedName>
    <definedName name="ADENDA_DIRECCION_S">ADENDA!$E$45</definedName>
    <definedName name="ADENDA_DNI_C">ADENDA!$I$43</definedName>
    <definedName name="ADENDA_DNI_S">ADENDA!$E$43</definedName>
    <definedName name="ADENDA_ESTADO_C">ADENDA!$I$44</definedName>
    <definedName name="ADENDA_ESTADO_S">ADENDA!$E$44</definedName>
    <definedName name="ADENDA_NOMBRE_C">ADENDA!$I$42</definedName>
    <definedName name="ADENDA_NOMBRE_S">ADENDA!$E$42</definedName>
    <definedName name="ADENDA1">ADENDA!$B$6</definedName>
    <definedName name="ADENDA1.1">ADENDA!$C$10</definedName>
    <definedName name="ADENDA1.2">ADENDA!$C$14</definedName>
    <definedName name="ADENDA2">ADENDA!$B$19</definedName>
    <definedName name="APROB_CSOCIO" localSheetId="7">'APROB COMITE'!$H$7</definedName>
    <definedName name="APROB_CSOCIO" localSheetId="6">'APROB CONSEJO'!$H$7</definedName>
    <definedName name="APROB_CSOCIO">'APROB FUNCIONARIO'!$H$7</definedName>
    <definedName name="APROB_CSOCIO2" localSheetId="7">'APROB COMITE'!$D$11</definedName>
    <definedName name="APROB_CSOCIO2" localSheetId="6">'APROB CONSEJO'!$D$11</definedName>
    <definedName name="APROB_CSOCIO2">'APROB FUNCIONARIO'!$D$11</definedName>
    <definedName name="APROB_GARANTIA" localSheetId="7">'APROB COMITE'!$D$18</definedName>
    <definedName name="APROB_GARANTIA" localSheetId="6">'APROB CONSEJO'!$D$18</definedName>
    <definedName name="APROB_GARANTIA">'APROB FUNCIONARIO'!$D$18</definedName>
    <definedName name="APROB_MON" localSheetId="7">'APROB COMITE'!$D$14</definedName>
    <definedName name="APROB_MON" localSheetId="6">'APROB CONSEJO'!$D$14</definedName>
    <definedName name="APROB_MON">'APROB FUNCIONARIO'!$D$14</definedName>
    <definedName name="APROB_MONTO" localSheetId="7">'APROB COMITE'!$D$15</definedName>
    <definedName name="APROB_MONTO" localSheetId="6">'APROB CONSEJO'!$D$15</definedName>
    <definedName name="APROB_MONTO">'APROB FUNCIONARIO'!$D$15</definedName>
    <definedName name="APROB_NOMBRE" localSheetId="7">'APROB COMITE'!$D$7</definedName>
    <definedName name="APROB_NOMBRE" localSheetId="6">'APROB CONSEJO'!$D$7</definedName>
    <definedName name="APROB_NOMBRE">'APROB FUNCIONARIO'!$D$7</definedName>
    <definedName name="APROB_NOMBRE2" localSheetId="7">'APROB COMITE'!$D$12</definedName>
    <definedName name="APROB_NOMBRE2" localSheetId="6">'APROB CONSEJO'!$D$12</definedName>
    <definedName name="APROB_NOMBRE2">'APROB FUNCIONARIO'!$D$12</definedName>
    <definedName name="APROB_NPLAZO" localSheetId="7">'APROB COMITE'!$D$23</definedName>
    <definedName name="APROB_NPLAZO" localSheetId="6">'APROB CONSEJO'!$D$23</definedName>
    <definedName name="APROB_NPLAZO">'APROB FUNCIONARIO'!$D$23</definedName>
    <definedName name="APROB_PLAZO" localSheetId="7">'APROB COMITE'!$D$16</definedName>
    <definedName name="APROB_PLAZO" localSheetId="6">'APROB CONSEJO'!$D$16</definedName>
    <definedName name="APROB_PLAZO">'APROB FUNCIONARIO'!$D$16</definedName>
    <definedName name="APROB_PLAZOT" localSheetId="7">'APROB COMITE'!$D$24</definedName>
    <definedName name="APROB_PLAZOT" localSheetId="6">'APROB CONSEJO'!$D$24</definedName>
    <definedName name="APROB_PLAZOT">'APROB FUNCIONARIO'!$D$24</definedName>
    <definedName name="APROB_PREST" localSheetId="7">'APROB COMITE'!$D$13</definedName>
    <definedName name="APROB_PREST" localSheetId="6">'APROB CONSEJO'!$D$13</definedName>
    <definedName name="APROB_PREST">'APROB FUNCIONARIO'!$D$13</definedName>
    <definedName name="APROB_RENOV" localSheetId="7">'APROB COMITE'!$H$6</definedName>
    <definedName name="APROB_RENOV" localSheetId="6">'APROB CONSEJO'!$H$6</definedName>
    <definedName name="APROB_RENOV">'APROB FUNCIONARIO'!$H$6</definedName>
    <definedName name="APROB_RESOLUCION" localSheetId="7">'APROB COMITE'!$B$30</definedName>
    <definedName name="APROB_RESOLUCION">'APROB CONSEJO'!$B$30</definedName>
    <definedName name="APROB_SOL" localSheetId="7">'APROB COMITE'!$D$6</definedName>
    <definedName name="APROB_SOL" localSheetId="6">'APROB CONSEJO'!$D$6</definedName>
    <definedName name="APROB_SOL">'APROB FUNCIONARIO'!$D$6</definedName>
    <definedName name="APROB_TEA" localSheetId="7">'APROB COMITE'!$D$17</definedName>
    <definedName name="APROB_TEA" localSheetId="6">'APROB CONSEJO'!$D$17</definedName>
    <definedName name="APROB_TEA">'APROB FUNCIONARIO'!$D$17</definedName>
    <definedName name="_xlnm.Print_Area" localSheetId="4">ADENDA!$B$2:$J$48</definedName>
    <definedName name="_xlnm.Print_Area" localSheetId="7">'APROB COMITE'!$A$3:$H$42</definedName>
    <definedName name="_xlnm.Print_Area" localSheetId="6">'APROB CONSEJO'!$A$3:$H$42</definedName>
    <definedName name="_xlnm.Print_Area" localSheetId="5">'APROB FUNCIONARIO'!$A$3:$H$35</definedName>
    <definedName name="CALC_FECHAS">INICIO!$B$18:$D$18,INICIO!$G$18</definedName>
    <definedName name="CONYUGE">ADENDA!$G$41:$I$45</definedName>
    <definedName name="CUARTA_CLAUSULA">ADENDA!$28:$34</definedName>
    <definedName name="dataSet">HISTORICO_TEMP!$A$2:$X$2</definedName>
    <definedName name="EXTRAORDINARIA" localSheetId="7">'APROB COMITE'!$K$7</definedName>
    <definedName name="EXTRAORDINARIA">'APROB CONSEJO'!$K$7</definedName>
    <definedName name="FECHA">ADENDA!$B$36</definedName>
    <definedName name="FECHA_CONTRATO">INICIO!$B$18</definedName>
    <definedName name="FECHA_DESEMBOLSO">INICIO!$C$18</definedName>
    <definedName name="LINEA_FIRMA_CONYUGE">ADENDA!$G$40:$I$40</definedName>
    <definedName name="NUEVO_PLAZO_DIAS">INICIO!$G$18</definedName>
    <definedName name="PLAZO">INICIO!$E$18</definedName>
    <definedName name="PLAZO_NUEVO">INICIO!$H$18</definedName>
    <definedName name="SOLICITUD">ADENDA!$I$3</definedName>
    <definedName name="TMPFECHA">ADENDA!$A$1</definedName>
    <definedName name="VENCIMIENTO">INICIO!$D$18</definedName>
    <definedName name="VENCIMIENTO_TARJETA">INICIO!$F$18</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 i="3" l="1"/>
  <c r="B30" i="10" l="1"/>
  <c r="D26" i="10"/>
  <c r="D25" i="10"/>
  <c r="D22" i="10"/>
  <c r="D12" i="10"/>
  <c r="D11" i="10"/>
  <c r="B30" i="7"/>
  <c r="D26" i="7" l="1"/>
  <c r="D25" i="7"/>
  <c r="D22" i="7"/>
  <c r="D12" i="7"/>
  <c r="D11" i="7"/>
  <c r="D26" i="2" l="1"/>
  <c r="D25" i="2"/>
  <c r="D11" i="2"/>
  <c r="D12" i="2"/>
  <c r="D22" i="2"/>
  <c r="H18" i="3" l="1"/>
</calcChain>
</file>

<file path=xl/sharedStrings.xml><?xml version="1.0" encoding="utf-8"?>
<sst xmlns="http://schemas.openxmlformats.org/spreadsheetml/2006/main" count="252" uniqueCount="95">
  <si>
    <t>ADENDA AL CONTRATO DE CRÉDITO</t>
  </si>
  <si>
    <t>El(la) Socio(a)</t>
  </si>
  <si>
    <t>Nombre, Razón o Denominación Social</t>
  </si>
  <si>
    <t>DNI/C.E./RUC</t>
  </si>
  <si>
    <t>Domicilio</t>
  </si>
  <si>
    <t>:</t>
  </si>
  <si>
    <t>Monto</t>
  </si>
  <si>
    <t>Moneda</t>
  </si>
  <si>
    <t>TEA</t>
  </si>
  <si>
    <t>Cónyuge del(la) Socio(a)</t>
  </si>
  <si>
    <t>CLAUSULA CUARTA: INTERVENCION DEL CONYUGE DEL(LA) SOCIO(A)</t>
  </si>
  <si>
    <r>
      <t>CLAUSULA PRIMERA:</t>
    </r>
    <r>
      <rPr>
        <b/>
        <sz val="9"/>
        <color theme="1"/>
        <rFont val="Century Gothic"/>
        <family val="2"/>
      </rPr>
      <t xml:space="preserve"> ANTECEDENTES</t>
    </r>
  </si>
  <si>
    <r>
      <t>CLAUSULA SEGUNDA:</t>
    </r>
    <r>
      <rPr>
        <b/>
        <sz val="9"/>
        <color theme="1"/>
        <rFont val="Century Gothic"/>
        <family val="2"/>
      </rPr>
      <t xml:space="preserve"> OBJETO DE LA ADENDA</t>
    </r>
  </si>
  <si>
    <r>
      <t>CLÁUSULA TERCERA:</t>
    </r>
    <r>
      <rPr>
        <sz val="9"/>
        <color theme="1"/>
        <rFont val="Century Gothic"/>
        <family val="2"/>
      </rPr>
      <t xml:space="preserve"> </t>
    </r>
    <r>
      <rPr>
        <b/>
        <sz val="9"/>
        <color theme="1"/>
        <rFont val="Century Gothic"/>
        <family val="2"/>
      </rPr>
      <t>VIGENCIA DE LOS TÉRMINOS DEL CONTRATO</t>
    </r>
  </si>
  <si>
    <r>
      <t>Los términos y condiciones del</t>
    </r>
    <r>
      <rPr>
        <b/>
        <sz val="9"/>
        <color theme="1"/>
        <rFont val="Century Gothic"/>
        <family val="2"/>
      </rPr>
      <t xml:space="preserve"> CONTRATO </t>
    </r>
    <r>
      <rPr>
        <sz val="9"/>
        <color theme="1"/>
        <rFont val="Century Gothic"/>
        <family val="2"/>
      </rPr>
      <t xml:space="preserve">se mantienen plenamente vigentes en todo lo que no se opongan a lo establecido en la presente adenda. </t>
    </r>
  </si>
  <si>
    <t xml:space="preserve">RENOVACIÓN DE PRÉSTAMO LÍNEA DE CRÉDITO </t>
  </si>
  <si>
    <t>Datos del préstamo:</t>
  </si>
  <si>
    <t>Código de socio</t>
  </si>
  <si>
    <t>Titular</t>
  </si>
  <si>
    <t>Código de préstamo</t>
  </si>
  <si>
    <t>Plazo</t>
  </si>
  <si>
    <t>Garantía</t>
  </si>
  <si>
    <t>Condiciones de Renovación:</t>
  </si>
  <si>
    <t>Núm. Renovación</t>
  </si>
  <si>
    <t>Renovación por</t>
  </si>
  <si>
    <t>Plazo Total</t>
  </si>
  <si>
    <t>FUNCIONARIO DE NEGOCIOS</t>
  </si>
  <si>
    <t>Lima,</t>
  </si>
  <si>
    <t>APROBACIÓN DE FUNCIONARIO DE NEGOCIOS</t>
  </si>
  <si>
    <t>Socio</t>
  </si>
  <si>
    <t>No.Sol.</t>
  </si>
  <si>
    <t>Solicitante</t>
  </si>
  <si>
    <t>Renovación</t>
  </si>
  <si>
    <t xml:space="preserve"> </t>
  </si>
  <si>
    <t>NOMBRE</t>
  </si>
  <si>
    <t>SOCIO</t>
  </si>
  <si>
    <t>SOLICITUD</t>
  </si>
  <si>
    <t>CODIGO_PRESTAMO</t>
  </si>
  <si>
    <t>FECHA_O</t>
  </si>
  <si>
    <t>FECHA_C</t>
  </si>
  <si>
    <t>MONTO</t>
  </si>
  <si>
    <t>MONEDA</t>
  </si>
  <si>
    <t>NRENOVACION</t>
  </si>
  <si>
    <t>GARANTIAS</t>
  </si>
  <si>
    <t>ID</t>
  </si>
  <si>
    <t>TIPO</t>
  </si>
  <si>
    <t>CASADO</t>
  </si>
  <si>
    <t>FECHA_GENERADO</t>
  </si>
  <si>
    <t>FECHA</t>
  </si>
  <si>
    <t>OTORGADO</t>
  </si>
  <si>
    <t>CONTRATO</t>
  </si>
  <si>
    <t>DNIS</t>
  </si>
  <si>
    <t>DIRS</t>
  </si>
  <si>
    <t>DNIC</t>
  </si>
  <si>
    <t>DIRC</t>
  </si>
  <si>
    <t>NOMC</t>
  </si>
  <si>
    <t>APROBACIÓN DEL CONSEJO DE ADMINISTRACIÓN</t>
  </si>
  <si>
    <t>PRESIDENTE</t>
  </si>
  <si>
    <t>SECRETARIO</t>
  </si>
  <si>
    <t>VOCAL</t>
  </si>
  <si>
    <t>COMITÉ DE CREDITO</t>
  </si>
  <si>
    <t>APROBACIÓN DEL COMITÉ DE CRÉDITO</t>
  </si>
  <si>
    <t>CONSEJO DE ADMINISTRACIÓN</t>
  </si>
  <si>
    <t>RESOLUCION DEL COMITÉ DE CRÉDITO</t>
  </si>
  <si>
    <t>RESOLUCION DEL CONSEJO DE ADMINISTRACIÓN</t>
  </si>
  <si>
    <t>CONSEJO</t>
  </si>
  <si>
    <t>COMITÉ</t>
  </si>
  <si>
    <t>FUNCIONARIO</t>
  </si>
  <si>
    <t>TIPO_APROB</t>
  </si>
  <si>
    <t>FECHA DEL CONTRATO</t>
  </si>
  <si>
    <t>Fecha de Desembolso</t>
  </si>
  <si>
    <t>Vencimiento</t>
  </si>
  <si>
    <t>PLAZO ANTERIOR+NUEVO</t>
  </si>
  <si>
    <t>DESEMBOLSO</t>
  </si>
  <si>
    <t>VENCIMIENTO</t>
  </si>
  <si>
    <t>VENCIMIENTO_TARJETA</t>
  </si>
  <si>
    <t>PLAZO ANTERIOR</t>
  </si>
  <si>
    <t>DIAS ADICIONALES</t>
  </si>
  <si>
    <t>Habilitar Macros para utilizar esta plantilla</t>
  </si>
  <si>
    <t>SOLTERO</t>
  </si>
  <si>
    <t>2017-01-71427</t>
  </si>
  <si>
    <t>MONTOYA MARCILLA MARTIN DE JESUS</t>
  </si>
  <si>
    <t>71934181</t>
  </si>
  <si>
    <t>COSTA DEL MAR- ZONA SARAPAMPA - CAÑETE, ASIA.</t>
  </si>
  <si>
    <t>Cooperativa de Ahorro y Crédito Pacífico</t>
  </si>
  <si>
    <t>De ser el caso, interviene en el presente contrato el(la) cónyuge de EL(LA) SOCIO(A), cuyo nombre y generales de ley constan al final de este documento, con arreglo a lo dispuesto en los artículos 292º y 315º del Código Civil, a efectos de brindar plena eficacia y total oponibilidad del presente contrato, con respecto a la sociedad conyugal.</t>
  </si>
  <si>
    <t>NUEVO VENCIMIENTO</t>
  </si>
  <si>
    <t>Estado Civil</t>
  </si>
  <si>
    <t>Conste por el presente documento, la ADENDA AL CONTRATO DE CRÉDITO DE FECHA #FECHAC#, que celebran, de una parte, la COOPERATIVA DE AHORRO Y CRÉDITO PACIFICO, con RUC No. 20111065013 y domicilio en Calle las Orquideas No. 675, Piso 3, Distrito de San Isidro, Provincia y Departamento de Lima, debidamente representada por su Apoderado del Grupo “B”, señor Jorge Armando Ouchida Noda, identificado con DNI No. 07912017, facultado según poderes inscritos en el asiento C00037 de la Partida No. 02021617 del Libro de Cooperativas del Registro de Personas Jurídicas de Lima,  a quien en adelante se denominará “LA COOPERATIVA”;  y, de la otra parte, “EL(LA) SOCIO(A)”, cuyo nombre y generales de ley constan al final de este documento; en los términos y condiciones siguientes:</t>
  </si>
  <si>
    <t>Con fecha #FECHAC#, las partes celebraron un Contrato de Crédito (en adelante, el “CONTRATO”), mediante el cual LA COOPERATIVA otorgó a EL(LA) SOCIO(A) el préstamo denominado #CODPRESTAMO# ascendente a la cantidad de #MONTOTEXTO# (en adelante, el “CRÉDITO”).</t>
  </si>
  <si>
    <t>El CRÉDITO debe ser devuelto en un plazo de #PLAZOACTUAL# días, contados a partir de la fecha del desembolso, habiéndose pactado una tasa de interés compensatorio de #TASA# anual (TEA).</t>
  </si>
  <si>
    <t>Por la presente Adenda, las partes convienen en renovar el plazo del CRÉDITO, el mismo que queda establecido en #AMPLIACION# días adicionales, contados a partir del vencimiento del plazo señalado en el numeral 1.2 de la Cláusula Primera precedente, con vencimiento al #VENCIMIENTO#.</t>
  </si>
  <si>
    <t/>
  </si>
  <si>
    <t>v3.4</t>
  </si>
  <si>
    <t>Lima, 19 de Agosto del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</si>
</sst>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00_ ;_-\ \-#,##0.00\ ;_-\ &quot;-&quot;??_ ;_-@_ "/>
  </numFmts>
  <fonts count="25" x14ac:knownFonts="1">
    <font>
      <sz val="11"/>
      <color theme="1"/>
      <name val="Calibri"/>
      <family val="2"/>
      <scheme val="minor"/>
    </font>
    <font>
      <b/>
      <u/>
      <sz val="12"/>
      <color theme="1"/>
      <name val="Century Gothic"/>
      <family val="2"/>
    </font>
    <font>
      <sz val="10"/>
      <name val="Century Gothic"/>
      <family val="2"/>
    </font>
    <font>
      <b/>
      <sz val="14"/>
      <name val="Century Gothic"/>
      <family val="2"/>
    </font>
    <font>
      <sz val="11"/>
      <color rgb="FFFF0000"/>
      <name val="Calibri"/>
      <family val="2"/>
      <scheme val="minor"/>
    </font>
    <font>
      <sz val="8"/>
      <name val="Century Gothic"/>
      <family val="2"/>
    </font>
    <font>
      <sz val="8"/>
      <color theme="1"/>
      <name val="Century Gothic"/>
      <family val="2"/>
    </font>
    <font>
      <sz val="8"/>
      <color rgb="FF000000"/>
      <name val="Century Gothic"/>
      <family val="2"/>
    </font>
    <font>
      <sz val="11"/>
      <color theme="1"/>
      <name val="Century Gothic"/>
      <family val="2"/>
    </font>
    <font>
      <sz val="9"/>
      <color theme="1"/>
      <name val="Century Gothic"/>
      <family val="2"/>
    </font>
    <font>
      <b/>
      <sz val="9"/>
      <color theme="1"/>
      <name val="Century Gothic"/>
      <family val="2"/>
    </font>
    <font>
      <b/>
      <u/>
      <sz val="9"/>
      <color theme="1"/>
      <name val="Century Gothic"/>
      <family val="2"/>
    </font>
    <font>
      <sz val="9"/>
      <color theme="1"/>
      <name val="Calibri"/>
      <family val="2"/>
      <scheme val="minor"/>
    </font>
    <font>
      <sz val="9"/>
      <name val="Century Gothic"/>
      <family val="2"/>
    </font>
    <font>
      <sz val="11"/>
      <color theme="1"/>
      <name val="Calibri"/>
      <family val="2"/>
      <scheme val="minor"/>
    </font>
    <font>
      <b/>
      <sz val="10"/>
      <color theme="1"/>
      <name val="Arial"/>
      <family val="2"/>
    </font>
    <font>
      <sz val="10"/>
      <color theme="1"/>
      <name val="Arial"/>
      <family val="2"/>
    </font>
    <font>
      <b/>
      <u/>
      <sz val="10"/>
      <color theme="1"/>
      <name val="Arial"/>
      <family val="2"/>
    </font>
    <font>
      <sz val="8"/>
      <color rgb="FF000000"/>
      <name val="Segoe UI"/>
      <family val="2"/>
    </font>
    <font>
      <sz val="11"/>
      <color theme="0"/>
      <name val="Calibri"/>
      <family val="2"/>
      <scheme val="minor"/>
    </font>
    <font>
      <b/>
      <u/>
      <sz val="36"/>
      <color theme="1"/>
      <name val="Calibri"/>
      <family val="2"/>
      <scheme val="minor"/>
    </font>
    <font>
      <b/>
      <sz val="8"/>
      <color indexed="8"/>
      <name val="Century Gothic"/>
      <family val="2"/>
    </font>
    <font>
      <sz val="8"/>
      <color theme="1" tint="0.34998626667073579"/>
      <name val="Century Gothic"/>
      <family val="2"/>
    </font>
    <font>
      <b/>
      <sz val="18"/>
      <color theme="1"/>
      <name val="Calibri"/>
      <family val="2"/>
      <scheme val="minor"/>
    </font>
    <font>
      <sz val="11"/>
      <name val="Century Gothic"/>
      <family val="2"/>
    </font>
  </fonts>
  <fills count="7">
    <fill>
      <patternFill patternType="none"/>
    </fill>
    <fill>
      <patternFill patternType="gray125"/>
    </fill>
    <fill>
      <patternFill patternType="solid">
        <fgColor indexed="44"/>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39994506668294322"/>
        <bgColor indexed="64"/>
      </patternFill>
    </fill>
    <fill>
      <patternFill patternType="solid">
        <fgColor theme="0" tint="-0.14996795556505021"/>
        <bgColor indexed="64"/>
      </patternFill>
    </fill>
  </fills>
  <borders count="5">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4" fillId="0" borderId="0" applyFont="0" applyFill="0" applyBorder="0" applyAlignment="0" applyProtection="0"/>
  </cellStyleXfs>
  <cellXfs count="73">
    <xf numFmtId="0" fontId="0" fillId="0" borderId="0" xfId="0"/>
    <xf numFmtId="0" fontId="0" fillId="0" borderId="1" xfId="0" applyBorder="1"/>
    <xf numFmtId="0" fontId="2" fillId="0" borderId="0" xfId="0" applyFont="1" applyAlignment="1">
      <alignment vertical="center"/>
    </xf>
    <xf numFmtId="14" fontId="0" fillId="0" borderId="0" xfId="0" applyNumberFormat="1"/>
    <xf numFmtId="0" fontId="0" fillId="0" borderId="0" xfId="0" applyAlignment="1">
      <alignment vertical="center"/>
    </xf>
    <xf numFmtId="0" fontId="3" fillId="0" borderId="0" xfId="0" applyFont="1" applyAlignment="1">
      <alignment horizontal="right" vertical="top"/>
    </xf>
    <xf numFmtId="0" fontId="4" fillId="0" borderId="0" xfId="0" applyFont="1"/>
    <xf numFmtId="0" fontId="8" fillId="0" borderId="0" xfId="0" applyFont="1"/>
    <xf numFmtId="0" fontId="6" fillId="0" borderId="0" xfId="0" applyFont="1" applyAlignment="1">
      <alignment vertical="center" wrapText="1"/>
    </xf>
    <xf numFmtId="0" fontId="8" fillId="0" borderId="0" xfId="0" applyFont="1" applyAlignment="1">
      <alignment vertical="center"/>
    </xf>
    <xf numFmtId="0" fontId="6" fillId="0" borderId="0" xfId="0" applyFont="1" applyAlignment="1">
      <alignment vertical="center"/>
    </xf>
    <xf numFmtId="0" fontId="11" fillId="0" borderId="0" xfId="0" applyFont="1" applyAlignment="1">
      <alignment vertical="center"/>
    </xf>
    <xf numFmtId="0" fontId="12" fillId="0" borderId="0" xfId="0" applyFont="1"/>
    <xf numFmtId="0" fontId="9" fillId="0" borderId="0" xfId="0" applyFont="1" applyAlignment="1">
      <alignment horizontal="left"/>
    </xf>
    <xf numFmtId="0" fontId="12" fillId="0" borderId="0" xfId="0" applyFont="1" applyAlignment="1">
      <alignment horizontal="left"/>
    </xf>
    <xf numFmtId="0" fontId="13" fillId="0" borderId="0" xfId="0" applyFont="1" applyAlignment="1">
      <alignment vertical="center"/>
    </xf>
    <xf numFmtId="0" fontId="15" fillId="0" borderId="0" xfId="0" applyFont="1" applyAlignment="1">
      <alignment horizontal="center" vertical="center"/>
    </xf>
    <xf numFmtId="0" fontId="16" fillId="0" borderId="0" xfId="0" applyFont="1"/>
    <xf numFmtId="0" fontId="17" fillId="0" borderId="0" xfId="0" applyFont="1"/>
    <xf numFmtId="0" fontId="15" fillId="0" borderId="0" xfId="0" applyFont="1"/>
    <xf numFmtId="0" fontId="16" fillId="0" borderId="0" xfId="0" applyFont="1" applyAlignment="1">
      <alignment horizontal="left"/>
    </xf>
    <xf numFmtId="49" fontId="16" fillId="0" borderId="0" xfId="0" applyNumberFormat="1" applyFont="1"/>
    <xf numFmtId="49" fontId="16" fillId="0" borderId="0" xfId="0" applyNumberFormat="1" applyFont="1" applyAlignment="1">
      <alignment horizontal="left"/>
    </xf>
    <xf numFmtId="49" fontId="16" fillId="0" borderId="0" xfId="1" applyNumberFormat="1" applyFont="1" applyAlignment="1">
      <alignment horizontal="left"/>
    </xf>
    <xf numFmtId="0" fontId="16" fillId="0" borderId="1" xfId="0" applyFont="1" applyBorder="1"/>
    <xf numFmtId="49" fontId="0" fillId="0" borderId="0" xfId="0" applyNumberFormat="1"/>
    <xf numFmtId="49" fontId="0" fillId="0" borderId="0" xfId="0" quotePrefix="1" applyNumberFormat="1"/>
    <xf numFmtId="0" fontId="16" fillId="0" borderId="0" xfId="0" applyFont="1" applyAlignment="1">
      <alignment horizontal="center"/>
    </xf>
    <xf numFmtId="0" fontId="19" fillId="0" borderId="0" xfId="0" applyFont="1" applyProtection="1">
      <protection locked="0"/>
    </xf>
    <xf numFmtId="0" fontId="20" fillId="0" borderId="0" xfId="0" applyFont="1"/>
    <xf numFmtId="0" fontId="21" fillId="2" borderId="3" xfId="0" applyFont="1" applyFill="1" applyBorder="1" applyAlignment="1">
      <alignment horizontal="center" vertical="center" wrapText="1"/>
    </xf>
    <xf numFmtId="0" fontId="16" fillId="0" borderId="0" xfId="0" applyFont="1" applyAlignment="1">
      <alignment vertical="top"/>
    </xf>
    <xf numFmtId="1" fontId="22" fillId="3" borderId="4" xfId="0" applyNumberFormat="1" applyFont="1" applyFill="1" applyBorder="1" applyAlignment="1">
      <alignment horizontal="center" vertical="center"/>
    </xf>
    <xf numFmtId="14" fontId="5" fillId="4" borderId="4" xfId="0" applyNumberFormat="1" applyFont="1" applyFill="1" applyBorder="1" applyAlignment="1" applyProtection="1">
      <alignment horizontal="center" vertical="center"/>
      <protection locked="0"/>
    </xf>
    <xf numFmtId="0" fontId="23" fillId="0" borderId="0" xfId="0" applyFont="1"/>
    <xf numFmtId="165" fontId="0" fillId="0" borderId="0" xfId="0" applyNumberFormat="1"/>
    <xf numFmtId="0" fontId="0" fillId="0" borderId="0" xfId="0" quotePrefix="1"/>
    <xf numFmtId="14" fontId="0" fillId="0" borderId="0" xfId="0" quotePrefix="1" applyNumberFormat="1"/>
    <xf numFmtId="0" fontId="7" fillId="0" borderId="0" xfId="0" applyFont="1" applyAlignment="1" applyProtection="1">
      <alignment vertical="center" wrapText="1"/>
      <protection locked="0"/>
    </xf>
    <xf numFmtId="49" fontId="6" fillId="0" borderId="0" xfId="0" applyNumberFormat="1" applyFont="1" applyAlignment="1" applyProtection="1">
      <alignment vertical="center"/>
      <protection locked="0"/>
    </xf>
    <xf numFmtId="49" fontId="0" fillId="0" borderId="0" xfId="0" quotePrefix="1" applyNumberFormat="1" applyAlignment="1">
      <alignment wrapText="1"/>
    </xf>
    <xf numFmtId="0" fontId="6" fillId="0" borderId="0" xfId="0" applyFont="1" applyAlignment="1">
      <alignment vertical="top"/>
    </xf>
    <xf numFmtId="0" fontId="8" fillId="0" borderId="0" xfId="0" applyFont="1" applyAlignment="1">
      <alignment vertical="top"/>
    </xf>
    <xf numFmtId="0" fontId="0" fillId="0" borderId="0" xfId="0" applyAlignment="1">
      <alignment wrapText="1"/>
    </xf>
    <xf numFmtId="14" fontId="19" fillId="0" borderId="0" xfId="0" applyNumberFormat="1" applyFont="1" applyProtection="1">
      <protection locked="0"/>
    </xf>
    <xf numFmtId="0" fontId="5" fillId="0" borderId="0" xfId="0" applyFont="1" applyBorder="1" applyAlignment="1">
      <alignment vertical="center" wrapText="1"/>
    </xf>
    <xf numFmtId="0" fontId="24" fillId="0" borderId="0" xfId="0" applyFont="1" applyBorder="1" applyAlignment="1">
      <alignment vertical="center"/>
    </xf>
    <xf numFmtId="0" fontId="5" fillId="0" borderId="0" xfId="0" applyFont="1" applyBorder="1" applyAlignment="1" applyProtection="1">
      <alignment vertical="center" wrapText="1"/>
      <protection locked="0"/>
    </xf>
    <xf numFmtId="0" fontId="5" fillId="0" borderId="0" xfId="0" applyFont="1" applyBorder="1" applyAlignment="1">
      <alignment vertical="center"/>
    </xf>
    <xf numFmtId="49" fontId="5" fillId="0" borderId="0" xfId="0" applyNumberFormat="1" applyFont="1" applyBorder="1" applyAlignment="1" applyProtection="1">
      <alignment vertical="center"/>
      <protection locked="0"/>
    </xf>
    <xf numFmtId="0" fontId="21" fillId="2" borderId="4" xfId="0" applyFont="1" applyFill="1" applyBorder="1" applyAlignment="1">
      <alignment horizontal="center" vertical="center" wrapText="1"/>
    </xf>
    <xf numFmtId="1" fontId="22" fillId="5" borderId="4" xfId="0" applyNumberFormat="1" applyFont="1" applyFill="1" applyBorder="1" applyAlignment="1" applyProtection="1">
      <alignment horizontal="center" vertical="center"/>
      <protection locked="0"/>
    </xf>
    <xf numFmtId="0" fontId="5" fillId="0" borderId="0" xfId="0" applyFont="1" applyBorder="1" applyAlignment="1">
      <alignment vertical="top"/>
    </xf>
    <xf numFmtId="0" fontId="24" fillId="0" borderId="0" xfId="0" applyFont="1" applyBorder="1" applyAlignment="1">
      <alignment vertical="top"/>
    </xf>
    <xf numFmtId="14" fontId="22" fillId="6" borderId="4" xfId="0" applyNumberFormat="1" applyFont="1" applyFill="1" applyBorder="1" applyAlignment="1" applyProtection="1">
      <alignment horizontal="center" vertical="center"/>
    </xf>
    <xf numFmtId="14" fontId="19" fillId="0" borderId="0" xfId="0" applyNumberFormat="1" applyFont="1"/>
    <xf numFmtId="49" fontId="5" fillId="0" borderId="0" xfId="0" applyNumberFormat="1" applyFont="1" applyAlignment="1" applyProtection="1">
      <alignment vertical="top" wrapText="1"/>
      <protection locked="0"/>
    </xf>
    <xf numFmtId="49" fontId="5" fillId="0" borderId="0" xfId="0" applyNumberFormat="1" applyFont="1" applyBorder="1" applyAlignment="1" applyProtection="1">
      <alignment vertical="top" wrapText="1"/>
      <protection locked="0"/>
    </xf>
    <xf numFmtId="0" fontId="6" fillId="0" borderId="2" xfId="0" applyFont="1" applyBorder="1" applyAlignment="1">
      <alignment horizontal="center" vertical="center"/>
    </xf>
    <xf numFmtId="0" fontId="9" fillId="0" borderId="0" xfId="0" applyFont="1" applyAlignment="1" applyProtection="1">
      <alignment horizontal="justify" vertical="center" wrapText="1"/>
      <protection locked="0"/>
    </xf>
    <xf numFmtId="0" fontId="9" fillId="0" borderId="0" xfId="0" applyFont="1" applyAlignment="1">
      <alignment horizontal="justify" vertical="center"/>
    </xf>
    <xf numFmtId="0" fontId="1" fillId="0" borderId="0" xfId="0" applyFont="1" applyAlignment="1">
      <alignment horizontal="center" vertical="center"/>
    </xf>
    <xf numFmtId="0" fontId="9" fillId="0" borderId="0" xfId="0" applyFont="1" applyAlignment="1">
      <alignment horizontal="justify" vertical="top" wrapText="1"/>
    </xf>
    <xf numFmtId="0" fontId="9" fillId="0" borderId="0" xfId="0" applyFont="1" applyAlignment="1">
      <alignment horizontal="justify" vertical="center" wrapText="1"/>
    </xf>
    <xf numFmtId="0" fontId="5" fillId="0" borderId="2" xfId="0" applyFont="1" applyBorder="1" applyAlignment="1">
      <alignment horizontal="center" vertical="top"/>
    </xf>
    <xf numFmtId="0" fontId="5" fillId="0" borderId="0" xfId="0" applyFont="1" applyBorder="1" applyAlignment="1">
      <alignment horizontal="center" vertical="top"/>
    </xf>
    <xf numFmtId="0" fontId="16" fillId="0" borderId="0" xfId="0" applyFont="1" applyAlignment="1">
      <alignment horizontal="center"/>
    </xf>
    <xf numFmtId="0" fontId="15" fillId="0" borderId="0" xfId="0" applyFont="1" applyAlignment="1">
      <alignment horizontal="center" vertical="center"/>
    </xf>
    <xf numFmtId="0" fontId="16" fillId="0" borderId="0" xfId="0" applyFont="1" applyAlignment="1">
      <alignment horizontal="left" vertical="top" wrapText="1"/>
    </xf>
    <xf numFmtId="49" fontId="16" fillId="0" borderId="0" xfId="0" applyNumberFormat="1" applyFont="1" applyAlignment="1">
      <alignment horizontal="left" vertical="top" wrapText="1"/>
    </xf>
    <xf numFmtId="0" fontId="16" fillId="0" borderId="0" xfId="0" applyFont="1" applyAlignment="1">
      <alignment horizontal="justify" wrapText="1"/>
    </xf>
    <xf numFmtId="0" fontId="16" fillId="0" borderId="2" xfId="0" applyFont="1" applyBorder="1" applyAlignment="1">
      <alignment horizontal="center"/>
    </xf>
    <xf numFmtId="0" fontId="16" fillId="0" borderId="1" xfId="0" applyFont="1" applyBorder="1" applyAlignment="1">
      <alignment horizontal="center"/>
    </xf>
  </cellXfs>
  <cellStyles count="2">
    <cellStyle name="Millares"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drawings/_rels/vmlDrawing1.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7.emf"/><Relationship Id="rId3" Type="http://schemas.openxmlformats.org/officeDocument/2006/relationships/image" Target="../media/image30.emf"/><Relationship Id="rId21" Type="http://schemas.openxmlformats.org/officeDocument/2006/relationships/image" Target="../media/image12.emf"/><Relationship Id="rId34" Type="http://schemas.openxmlformats.org/officeDocument/2006/relationships/image" Target="../media/image35.emf"/><Relationship Id="rId7" Type="http://schemas.openxmlformats.org/officeDocument/2006/relationships/image" Target="../media/image26.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8.emf"/><Relationship Id="rId33" Type="http://schemas.openxmlformats.org/officeDocument/2006/relationships/image" Target="../media/image34.emf"/><Relationship Id="rId2" Type="http://schemas.openxmlformats.org/officeDocument/2006/relationships/image" Target="../media/image31.emf"/><Relationship Id="rId16" Type="http://schemas.openxmlformats.org/officeDocument/2006/relationships/image" Target="../media/image17.emf"/><Relationship Id="rId20" Type="http://schemas.openxmlformats.org/officeDocument/2006/relationships/image" Target="../media/image13.emf"/><Relationship Id="rId29" Type="http://schemas.openxmlformats.org/officeDocument/2006/relationships/image" Target="../media/image5.emf"/><Relationship Id="rId1" Type="http://schemas.openxmlformats.org/officeDocument/2006/relationships/image" Target="../media/image32.emf"/><Relationship Id="rId6" Type="http://schemas.openxmlformats.org/officeDocument/2006/relationships/image" Target="../media/image27.emf"/><Relationship Id="rId11" Type="http://schemas.openxmlformats.org/officeDocument/2006/relationships/image" Target="../media/image22.emf"/><Relationship Id="rId24" Type="http://schemas.openxmlformats.org/officeDocument/2006/relationships/image" Target="../media/image9.emf"/><Relationship Id="rId32" Type="http://schemas.openxmlformats.org/officeDocument/2006/relationships/image" Target="../media/image33.emf"/><Relationship Id="rId37" Type="http://schemas.openxmlformats.org/officeDocument/2006/relationships/image" Target="../media/image37.emf"/><Relationship Id="rId5" Type="http://schemas.openxmlformats.org/officeDocument/2006/relationships/image" Target="../media/image28.emf"/><Relationship Id="rId15" Type="http://schemas.openxmlformats.org/officeDocument/2006/relationships/image" Target="../media/image18.emf"/><Relationship Id="rId23" Type="http://schemas.openxmlformats.org/officeDocument/2006/relationships/image" Target="../media/image10.emf"/><Relationship Id="rId28" Type="http://schemas.openxmlformats.org/officeDocument/2006/relationships/image" Target="../media/image2.emf"/><Relationship Id="rId36" Type="http://schemas.openxmlformats.org/officeDocument/2006/relationships/image" Target="../media/image1.emf"/><Relationship Id="rId10" Type="http://schemas.openxmlformats.org/officeDocument/2006/relationships/image" Target="../media/image23.emf"/><Relationship Id="rId19" Type="http://schemas.openxmlformats.org/officeDocument/2006/relationships/image" Target="../media/image14.emf"/><Relationship Id="rId31" Type="http://schemas.openxmlformats.org/officeDocument/2006/relationships/image" Target="../media/image3.emf"/><Relationship Id="rId4" Type="http://schemas.openxmlformats.org/officeDocument/2006/relationships/image" Target="../media/image29.emf"/><Relationship Id="rId9" Type="http://schemas.openxmlformats.org/officeDocument/2006/relationships/image" Target="../media/image24.emf"/><Relationship Id="rId14" Type="http://schemas.openxmlformats.org/officeDocument/2006/relationships/image" Target="../media/image19.emf"/><Relationship Id="rId22" Type="http://schemas.openxmlformats.org/officeDocument/2006/relationships/image" Target="../media/image11.emf"/><Relationship Id="rId27" Type="http://schemas.openxmlformats.org/officeDocument/2006/relationships/image" Target="../media/image6.emf"/><Relationship Id="rId30" Type="http://schemas.openxmlformats.org/officeDocument/2006/relationships/image" Target="../media/image4.emf"/><Relationship Id="rId35"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xdr:from>
      <xdr:col>8</xdr:col>
      <xdr:colOff>333375</xdr:colOff>
      <xdr:row>1</xdr:row>
      <xdr:rowOff>0</xdr:rowOff>
    </xdr:from>
    <xdr:to>
      <xdr:col>15</xdr:col>
      <xdr:colOff>561975</xdr:colOff>
      <xdr:row>8</xdr:row>
      <xdr:rowOff>123825</xdr:rowOff>
    </xdr:to>
    <xdr:sp macro="" textlink="">
      <xdr:nvSpPr>
        <xdr:cNvPr id="37" name="Rectángulo 36">
          <a:extLst>
            <a:ext uri="{FF2B5EF4-FFF2-40B4-BE49-F238E27FC236}">
              <a16:creationId xmlns:a16="http://schemas.microsoft.com/office/drawing/2014/main" id="{00000000-0008-0000-0100-000025000000}"/>
            </a:ext>
          </a:extLst>
        </xdr:cNvPr>
        <xdr:cNvSpPr/>
      </xdr:nvSpPr>
      <xdr:spPr>
        <a:xfrm>
          <a:off x="5753100" y="66675"/>
          <a:ext cx="5562600" cy="145732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ES" sz="1100"/>
        </a:p>
      </xdr:txBody>
    </xdr:sp>
    <xdr:clientData/>
  </xdr:twoCellAnchor>
  <xdr:twoCellAnchor>
    <xdr:from>
      <xdr:col>8</xdr:col>
      <xdr:colOff>352426</xdr:colOff>
      <xdr:row>9</xdr:row>
      <xdr:rowOff>133350</xdr:rowOff>
    </xdr:from>
    <xdr:to>
      <xdr:col>15</xdr:col>
      <xdr:colOff>590550</xdr:colOff>
      <xdr:row>17</xdr:row>
      <xdr:rowOff>57150</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772151" y="1724025"/>
          <a:ext cx="5572124" cy="17430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3</xdr:row>
          <xdr:rowOff>66675</xdr:rowOff>
        </xdr:from>
        <xdr:to>
          <xdr:col>6</xdr:col>
          <xdr:colOff>0</xdr:colOff>
          <xdr:row>4</xdr:row>
          <xdr:rowOff>152400</xdr:rowOff>
        </xdr:to>
        <xdr:sp macro="" textlink="">
          <xdr:nvSpPr>
            <xdr:cNvPr id="3074" name="tbNSol"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7</xdr:row>
          <xdr:rowOff>66675</xdr:rowOff>
        </xdr:from>
        <xdr:to>
          <xdr:col>6</xdr:col>
          <xdr:colOff>0</xdr:colOff>
          <xdr:row>8</xdr:row>
          <xdr:rowOff>152400</xdr:rowOff>
        </xdr:to>
        <xdr:sp macro="" textlink="">
          <xdr:nvSpPr>
            <xdr:cNvPr id="3075" name="tbFechaO"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5</xdr:row>
          <xdr:rowOff>66675</xdr:rowOff>
        </xdr:from>
        <xdr:to>
          <xdr:col>6</xdr:col>
          <xdr:colOff>0</xdr:colOff>
          <xdr:row>6</xdr:row>
          <xdr:rowOff>152400</xdr:rowOff>
        </xdr:to>
        <xdr:sp macro="" textlink="">
          <xdr:nvSpPr>
            <xdr:cNvPr id="3076" name="tbCodP"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9</xdr:row>
          <xdr:rowOff>57150</xdr:rowOff>
        </xdr:from>
        <xdr:to>
          <xdr:col>6</xdr:col>
          <xdr:colOff>0</xdr:colOff>
          <xdr:row>10</xdr:row>
          <xdr:rowOff>171450</xdr:rowOff>
        </xdr:to>
        <xdr:sp macro="" textlink="">
          <xdr:nvSpPr>
            <xdr:cNvPr id="3077" name="tbMonto"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11</xdr:row>
          <xdr:rowOff>66675</xdr:rowOff>
        </xdr:from>
        <xdr:to>
          <xdr:col>4</xdr:col>
          <xdr:colOff>57150</xdr:colOff>
          <xdr:row>12</xdr:row>
          <xdr:rowOff>114300</xdr:rowOff>
        </xdr:to>
        <xdr:sp macro="" textlink="">
          <xdr:nvSpPr>
            <xdr:cNvPr id="3078" name="obSoles"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11</xdr:row>
          <xdr:rowOff>66675</xdr:rowOff>
        </xdr:from>
        <xdr:to>
          <xdr:col>4</xdr:col>
          <xdr:colOff>609600</xdr:colOff>
          <xdr:row>12</xdr:row>
          <xdr:rowOff>104775</xdr:rowOff>
        </xdr:to>
        <xdr:sp macro="" textlink="">
          <xdr:nvSpPr>
            <xdr:cNvPr id="3079" name="obDolares"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13</xdr:row>
          <xdr:rowOff>57150</xdr:rowOff>
        </xdr:from>
        <xdr:to>
          <xdr:col>6</xdr:col>
          <xdr:colOff>0</xdr:colOff>
          <xdr:row>14</xdr:row>
          <xdr:rowOff>161925</xdr:rowOff>
        </xdr:to>
        <xdr:sp macro="" textlink="">
          <xdr:nvSpPr>
            <xdr:cNvPr id="3082" name="tbTEA"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4</xdr:row>
          <xdr:rowOff>142875</xdr:rowOff>
        </xdr:from>
        <xdr:to>
          <xdr:col>9</xdr:col>
          <xdr:colOff>590550</xdr:colOff>
          <xdr:row>5</xdr:row>
          <xdr:rowOff>161925</xdr:rowOff>
        </xdr:to>
        <xdr:sp macro="" textlink="">
          <xdr:nvSpPr>
            <xdr:cNvPr id="3084" name="obS"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4</xdr:row>
          <xdr:rowOff>142875</xdr:rowOff>
        </xdr:from>
        <xdr:to>
          <xdr:col>11</xdr:col>
          <xdr:colOff>19050</xdr:colOff>
          <xdr:row>5</xdr:row>
          <xdr:rowOff>171450</xdr:rowOff>
        </xdr:to>
        <xdr:sp macro="" textlink="">
          <xdr:nvSpPr>
            <xdr:cNvPr id="3085" name="obC"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3</xdr:row>
          <xdr:rowOff>66675</xdr:rowOff>
        </xdr:from>
        <xdr:to>
          <xdr:col>3</xdr:col>
          <xdr:colOff>333375</xdr:colOff>
          <xdr:row>4</xdr:row>
          <xdr:rowOff>152400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7</xdr:row>
          <xdr:rowOff>66675</xdr:rowOff>
        </xdr:from>
        <xdr:to>
          <xdr:col>3</xdr:col>
          <xdr:colOff>304800</xdr:colOff>
          <xdr:row>8</xdr:row>
          <xdr:rowOff>152400</xdr:rowOff>
        </xdr:to>
        <xdr:sp macro="" textlink="">
          <xdr:nvSpPr>
            <xdr:cNvPr id="3088" name="Label3"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5</xdr:row>
          <xdr:rowOff>66675</xdr:rowOff>
        </xdr:from>
        <xdr:to>
          <xdr:col>3</xdr:col>
          <xdr:colOff>304800</xdr:colOff>
          <xdr:row>6</xdr:row>
          <xdr:rowOff>152400</xdr:rowOff>
        </xdr:to>
        <xdr:sp macro="" textlink="">
          <xdr:nvSpPr>
            <xdr:cNvPr id="3089" name="Label4"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11</xdr:row>
          <xdr:rowOff>57150</xdr:rowOff>
        </xdr:from>
        <xdr:to>
          <xdr:col>2</xdr:col>
          <xdr:colOff>457200</xdr:colOff>
          <xdr:row>12</xdr:row>
          <xdr:rowOff>142875</xdr:rowOff>
        </xdr:to>
        <xdr:sp macro="" textlink="">
          <xdr:nvSpPr>
            <xdr:cNvPr id="3090" name="Label5"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9</xdr:row>
          <xdr:rowOff>57150</xdr:rowOff>
        </xdr:from>
        <xdr:to>
          <xdr:col>2</xdr:col>
          <xdr:colOff>457200</xdr:colOff>
          <xdr:row>10</xdr:row>
          <xdr:rowOff>142875</xdr:rowOff>
        </xdr:to>
        <xdr:sp macro="" textlink="">
          <xdr:nvSpPr>
            <xdr:cNvPr id="3091" name="Label6"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13</xdr:row>
          <xdr:rowOff>57150</xdr:rowOff>
        </xdr:from>
        <xdr:to>
          <xdr:col>3</xdr:col>
          <xdr:colOff>161925</xdr:colOff>
          <xdr:row>14</xdr:row>
          <xdr:rowOff>142875</xdr:rowOff>
        </xdr:to>
        <xdr:sp macro="" textlink="">
          <xdr:nvSpPr>
            <xdr:cNvPr id="3094" name="Label9"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xdr:row>
          <xdr:rowOff>66675</xdr:rowOff>
        </xdr:from>
        <xdr:to>
          <xdr:col>8</xdr:col>
          <xdr:colOff>133350</xdr:colOff>
          <xdr:row>2</xdr:row>
          <xdr:rowOff>152400</xdr:rowOff>
        </xdr:to>
        <xdr:sp macro="" textlink="">
          <xdr:nvSpPr>
            <xdr:cNvPr id="3095" name="tbNomSocio"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10</xdr:row>
          <xdr:rowOff>133350</xdr:rowOff>
        </xdr:from>
        <xdr:to>
          <xdr:col>11</xdr:col>
          <xdr:colOff>342900</xdr:colOff>
          <xdr:row>12</xdr:row>
          <xdr:rowOff>28575</xdr:rowOff>
        </xdr:to>
        <xdr:sp macro="" textlink="">
          <xdr:nvSpPr>
            <xdr:cNvPr id="3096" name="tbCSocio"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12</xdr:row>
          <xdr:rowOff>133350</xdr:rowOff>
        </xdr:from>
        <xdr:to>
          <xdr:col>11</xdr:col>
          <xdr:colOff>342900</xdr:colOff>
          <xdr:row>14</xdr:row>
          <xdr:rowOff>28575</xdr:rowOff>
        </xdr:to>
        <xdr:sp macro="" textlink="">
          <xdr:nvSpPr>
            <xdr:cNvPr id="3097" name="tbNRenov"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14</xdr:row>
          <xdr:rowOff>152400</xdr:rowOff>
        </xdr:from>
        <xdr:to>
          <xdr:col>14</xdr:col>
          <xdr:colOff>609600</xdr:colOff>
          <xdr:row>16</xdr:row>
          <xdr:rowOff>428625</xdr:rowOff>
        </xdr:to>
        <xdr:sp macro="" textlink="">
          <xdr:nvSpPr>
            <xdr:cNvPr id="3098" name="tbGarantias" hidden="1">
              <a:extLst>
                <a:ext uri="{63B3BB69-23CF-44E3-9099-C40C66FF867C}">
                  <a14:compatExt spid="_x0000_s3098"/>
                </a:ext>
                <a:ext uri="{FF2B5EF4-FFF2-40B4-BE49-F238E27FC236}">
                  <a16:creationId xmlns:a16="http://schemas.microsoft.com/office/drawing/2014/main" id="{00000000-0008-0000-01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10</xdr:row>
          <xdr:rowOff>142875</xdr:rowOff>
        </xdr:from>
        <xdr:to>
          <xdr:col>10</xdr:col>
          <xdr:colOff>66675</xdr:colOff>
          <xdr:row>12</xdr:row>
          <xdr:rowOff>38100</xdr:rowOff>
        </xdr:to>
        <xdr:sp macro="" textlink="">
          <xdr:nvSpPr>
            <xdr:cNvPr id="3101" name="Label10"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1</xdr:row>
          <xdr:rowOff>66675</xdr:rowOff>
        </xdr:from>
        <xdr:to>
          <xdr:col>3</xdr:col>
          <xdr:colOff>133350</xdr:colOff>
          <xdr:row>2</xdr:row>
          <xdr:rowOff>152400</xdr:rowOff>
        </xdr:to>
        <xdr:sp macro="" textlink="">
          <xdr:nvSpPr>
            <xdr:cNvPr id="3102" name="Label11"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12</xdr:row>
          <xdr:rowOff>142875</xdr:rowOff>
        </xdr:from>
        <xdr:to>
          <xdr:col>10</xdr:col>
          <xdr:colOff>85725</xdr:colOff>
          <xdr:row>14</xdr:row>
          <xdr:rowOff>38100</xdr:rowOff>
        </xdr:to>
        <xdr:sp macro="" textlink="">
          <xdr:nvSpPr>
            <xdr:cNvPr id="3103" name="Label12"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14</xdr:row>
          <xdr:rowOff>142875</xdr:rowOff>
        </xdr:from>
        <xdr:to>
          <xdr:col>9</xdr:col>
          <xdr:colOff>600075</xdr:colOff>
          <xdr:row>16</xdr:row>
          <xdr:rowOff>38100</xdr:rowOff>
        </xdr:to>
        <xdr:sp macro="" textlink="">
          <xdr:nvSpPr>
            <xdr:cNvPr id="3104" name="Label13"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11</xdr:row>
          <xdr:rowOff>85725</xdr:rowOff>
        </xdr:from>
        <xdr:to>
          <xdr:col>15</xdr:col>
          <xdr:colOff>247650</xdr:colOff>
          <xdr:row>13</xdr:row>
          <xdr:rowOff>114300</xdr:rowOff>
        </xdr:to>
        <xdr:sp macro="" textlink="">
          <xdr:nvSpPr>
            <xdr:cNvPr id="3106" name="btnAprobacion"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6</xdr:row>
          <xdr:rowOff>0</xdr:rowOff>
        </xdr:from>
        <xdr:to>
          <xdr:col>11</xdr:col>
          <xdr:colOff>342900</xdr:colOff>
          <xdr:row>8</xdr:row>
          <xdr:rowOff>28575</xdr:rowOff>
        </xdr:to>
        <xdr:sp macro="" textlink="">
          <xdr:nvSpPr>
            <xdr:cNvPr id="3107" name="btnAdenda"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xdr:colOff>
          <xdr:row>10</xdr:row>
          <xdr:rowOff>95250</xdr:rowOff>
        </xdr:from>
        <xdr:to>
          <xdr:col>17</xdr:col>
          <xdr:colOff>85725</xdr:colOff>
          <xdr:row>16</xdr:row>
          <xdr:rowOff>352425</xdr:rowOff>
        </xdr:to>
        <xdr:sp macro="" textlink="">
          <xdr:nvSpPr>
            <xdr:cNvPr id="3108" name="obHistorico"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xdr:row>
          <xdr:rowOff>85725</xdr:rowOff>
        </xdr:from>
        <xdr:to>
          <xdr:col>12</xdr:col>
          <xdr:colOff>142875</xdr:colOff>
          <xdr:row>2</xdr:row>
          <xdr:rowOff>171450</xdr:rowOff>
        </xdr:to>
        <xdr:sp macro="" textlink="">
          <xdr:nvSpPr>
            <xdr:cNvPr id="3109" name="tbDNIS"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1</xdr:row>
          <xdr:rowOff>123825</xdr:rowOff>
        </xdr:from>
        <xdr:to>
          <xdr:col>9</xdr:col>
          <xdr:colOff>476250</xdr:colOff>
          <xdr:row>2</xdr:row>
          <xdr:rowOff>161925</xdr:rowOff>
        </xdr:to>
        <xdr:sp macro="" textlink="">
          <xdr:nvSpPr>
            <xdr:cNvPr id="3110" name="Label15" hidden="1">
              <a:extLst>
                <a:ext uri="{63B3BB69-23CF-44E3-9099-C40C66FF867C}">
                  <a14:compatExt spid="_x0000_s3110"/>
                </a:ext>
                <a:ext uri="{FF2B5EF4-FFF2-40B4-BE49-F238E27FC236}">
                  <a16:creationId xmlns:a16="http://schemas.microsoft.com/office/drawing/2014/main" id="{00000000-0008-0000-0100-00002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3</xdr:row>
          <xdr:rowOff>28575</xdr:rowOff>
        </xdr:from>
        <xdr:to>
          <xdr:col>12</xdr:col>
          <xdr:colOff>133350</xdr:colOff>
          <xdr:row>4</xdr:row>
          <xdr:rowOff>114300</xdr:rowOff>
        </xdr:to>
        <xdr:sp macro="" textlink="">
          <xdr:nvSpPr>
            <xdr:cNvPr id="3111" name="tbDirS" hidden="1">
              <a:extLst>
                <a:ext uri="{63B3BB69-23CF-44E3-9099-C40C66FF867C}">
                  <a14:compatExt spid="_x0000_s3111"/>
                </a:ext>
                <a:ext uri="{FF2B5EF4-FFF2-40B4-BE49-F238E27FC236}">
                  <a16:creationId xmlns:a16="http://schemas.microsoft.com/office/drawing/2014/main" id="{00000000-0008-0000-0100-00002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xdr:row>
          <xdr:rowOff>57150</xdr:rowOff>
        </xdr:from>
        <xdr:to>
          <xdr:col>10</xdr:col>
          <xdr:colOff>66675</xdr:colOff>
          <xdr:row>4</xdr:row>
          <xdr:rowOff>95250</xdr:rowOff>
        </xdr:to>
        <xdr:sp macro="" textlink="">
          <xdr:nvSpPr>
            <xdr:cNvPr id="3112" name="Label16" hidden="1">
              <a:extLst>
                <a:ext uri="{63B3BB69-23CF-44E3-9099-C40C66FF867C}">
                  <a14:compatExt spid="_x0000_s3112"/>
                </a:ext>
                <a:ext uri="{FF2B5EF4-FFF2-40B4-BE49-F238E27FC236}">
                  <a16:creationId xmlns:a16="http://schemas.microsoft.com/office/drawing/2014/main" id="{00000000-0008-0000-0100-00002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4</xdr:row>
          <xdr:rowOff>0</xdr:rowOff>
        </xdr:from>
        <xdr:to>
          <xdr:col>15</xdr:col>
          <xdr:colOff>361950</xdr:colOff>
          <xdr:row>5</xdr:row>
          <xdr:rowOff>85725</xdr:rowOff>
        </xdr:to>
        <xdr:sp macro="" textlink="">
          <xdr:nvSpPr>
            <xdr:cNvPr id="3113" name="tbDNIC" hidden="1">
              <a:extLst>
                <a:ext uri="{63B3BB69-23CF-44E3-9099-C40C66FF867C}">
                  <a14:compatExt spid="_x0000_s3113"/>
                </a:ext>
                <a:ext uri="{FF2B5EF4-FFF2-40B4-BE49-F238E27FC236}">
                  <a16:creationId xmlns:a16="http://schemas.microsoft.com/office/drawing/2014/main" id="{00000000-0008-0000-0100-00002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4</xdr:row>
          <xdr:rowOff>38100</xdr:rowOff>
        </xdr:from>
        <xdr:to>
          <xdr:col>13</xdr:col>
          <xdr:colOff>104775</xdr:colOff>
          <xdr:row>5</xdr:row>
          <xdr:rowOff>66675</xdr:rowOff>
        </xdr:to>
        <xdr:sp macro="" textlink="">
          <xdr:nvSpPr>
            <xdr:cNvPr id="3115" name="Label17"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6</xdr:row>
          <xdr:rowOff>38100</xdr:rowOff>
        </xdr:from>
        <xdr:to>
          <xdr:col>13</xdr:col>
          <xdr:colOff>238125</xdr:colOff>
          <xdr:row>7</xdr:row>
          <xdr:rowOff>76200</xdr:rowOff>
        </xdr:to>
        <xdr:sp macro="" textlink="">
          <xdr:nvSpPr>
            <xdr:cNvPr id="3116" name="Label18" hidden="1">
              <a:extLst>
                <a:ext uri="{63B3BB69-23CF-44E3-9099-C40C66FF867C}">
                  <a14:compatExt spid="_x0000_s3116"/>
                </a:ext>
                <a:ext uri="{FF2B5EF4-FFF2-40B4-BE49-F238E27FC236}">
                  <a16:creationId xmlns:a16="http://schemas.microsoft.com/office/drawing/2014/main" id="{00000000-0008-0000-01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2</xdr:row>
          <xdr:rowOff>47625</xdr:rowOff>
        </xdr:from>
        <xdr:to>
          <xdr:col>13</xdr:col>
          <xdr:colOff>257175</xdr:colOff>
          <xdr:row>3</xdr:row>
          <xdr:rowOff>57150</xdr:rowOff>
        </xdr:to>
        <xdr:sp macro="" textlink="">
          <xdr:nvSpPr>
            <xdr:cNvPr id="3117" name="Label19" hidden="1">
              <a:extLst>
                <a:ext uri="{63B3BB69-23CF-44E3-9099-C40C66FF867C}">
                  <a14:compatExt spid="_x0000_s3117"/>
                </a:ext>
                <a:ext uri="{FF2B5EF4-FFF2-40B4-BE49-F238E27FC236}">
                  <a16:creationId xmlns:a16="http://schemas.microsoft.com/office/drawing/2014/main" id="{00000000-0008-0000-01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1</xdr:row>
          <xdr:rowOff>104775</xdr:rowOff>
        </xdr:from>
        <xdr:to>
          <xdr:col>15</xdr:col>
          <xdr:colOff>438150</xdr:colOff>
          <xdr:row>7</xdr:row>
          <xdr:rowOff>133350</xdr:rowOff>
        </xdr:to>
        <xdr:sp macro="" textlink="">
          <xdr:nvSpPr>
            <xdr:cNvPr id="3118" name="Group Box 46" hidden="1">
              <a:extLst>
                <a:ext uri="{63B3BB69-23CF-44E3-9099-C40C66FF867C}">
                  <a14:compatExt spid="_x0000_s3118"/>
                </a:ext>
                <a:ext uri="{FF2B5EF4-FFF2-40B4-BE49-F238E27FC236}">
                  <a16:creationId xmlns:a16="http://schemas.microsoft.com/office/drawing/2014/main" id="{00000000-0008-0000-0100-00002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Cónyuge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6</xdr:row>
          <xdr:rowOff>0</xdr:rowOff>
        </xdr:from>
        <xdr:to>
          <xdr:col>15</xdr:col>
          <xdr:colOff>361950</xdr:colOff>
          <xdr:row>7</xdr:row>
          <xdr:rowOff>85725</xdr:rowOff>
        </xdr:to>
        <xdr:sp macro="" textlink="">
          <xdr:nvSpPr>
            <xdr:cNvPr id="3119" name="tbDirC"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xdr:row>
          <xdr:rowOff>0</xdr:rowOff>
        </xdr:from>
        <xdr:to>
          <xdr:col>15</xdr:col>
          <xdr:colOff>361950</xdr:colOff>
          <xdr:row>3</xdr:row>
          <xdr:rowOff>85725</xdr:rowOff>
        </xdr:to>
        <xdr:sp macro="" textlink="">
          <xdr:nvSpPr>
            <xdr:cNvPr id="3120" name="tbNombreC" hidden="1">
              <a:extLst>
                <a:ext uri="{63B3BB69-23CF-44E3-9099-C40C66FF867C}">
                  <a14:compatExt spid="_x0000_s3120"/>
                </a:ext>
                <a:ext uri="{FF2B5EF4-FFF2-40B4-BE49-F238E27FC236}">
                  <a16:creationId xmlns:a16="http://schemas.microsoft.com/office/drawing/2014/main" id="{00000000-0008-0000-01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76200</xdr:colOff>
          <xdr:row>3</xdr:row>
          <xdr:rowOff>47625</xdr:rowOff>
        </xdr:from>
        <xdr:to>
          <xdr:col>17</xdr:col>
          <xdr:colOff>95250</xdr:colOff>
          <xdr:row>6</xdr:row>
          <xdr:rowOff>142875</xdr:rowOff>
        </xdr:to>
        <xdr:sp macro="" textlink="">
          <xdr:nvSpPr>
            <xdr:cNvPr id="3121" name="btLimpiar" hidden="1">
              <a:extLst>
                <a:ext uri="{63B3BB69-23CF-44E3-9099-C40C66FF867C}">
                  <a14:compatExt spid="_x0000_s3121"/>
                </a:ext>
                <a:ext uri="{FF2B5EF4-FFF2-40B4-BE49-F238E27FC236}">
                  <a16:creationId xmlns:a16="http://schemas.microsoft.com/office/drawing/2014/main" id="{00000000-0008-0000-01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10</xdr:row>
          <xdr:rowOff>85725</xdr:rowOff>
        </xdr:from>
        <xdr:to>
          <xdr:col>13</xdr:col>
          <xdr:colOff>28575</xdr:colOff>
          <xdr:row>11</xdr:row>
          <xdr:rowOff>123825</xdr:rowOff>
        </xdr:to>
        <xdr:sp macro="" textlink="">
          <xdr:nvSpPr>
            <xdr:cNvPr id="3122" name="obFuncionario" hidden="1">
              <a:extLst>
                <a:ext uri="{63B3BB69-23CF-44E3-9099-C40C66FF867C}">
                  <a14:compatExt spid="_x0000_s3122"/>
                </a:ext>
                <a:ext uri="{FF2B5EF4-FFF2-40B4-BE49-F238E27FC236}">
                  <a16:creationId xmlns:a16="http://schemas.microsoft.com/office/drawing/2014/main" id="{00000000-0008-0000-01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11</xdr:row>
          <xdr:rowOff>152400</xdr:rowOff>
        </xdr:from>
        <xdr:to>
          <xdr:col>13</xdr:col>
          <xdr:colOff>28575</xdr:colOff>
          <xdr:row>13</xdr:row>
          <xdr:rowOff>0</xdr:rowOff>
        </xdr:to>
        <xdr:sp macro="" textlink="">
          <xdr:nvSpPr>
            <xdr:cNvPr id="3123" name="obComite" hidden="1">
              <a:extLst>
                <a:ext uri="{63B3BB69-23CF-44E3-9099-C40C66FF867C}">
                  <a14:compatExt spid="_x0000_s3123"/>
                </a:ext>
                <a:ext uri="{FF2B5EF4-FFF2-40B4-BE49-F238E27FC236}">
                  <a16:creationId xmlns:a16="http://schemas.microsoft.com/office/drawing/2014/main" id="{00000000-0008-0000-01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13</xdr:row>
          <xdr:rowOff>28575</xdr:rowOff>
        </xdr:from>
        <xdr:to>
          <xdr:col>13</xdr:col>
          <xdr:colOff>28575</xdr:colOff>
          <xdr:row>14</xdr:row>
          <xdr:rowOff>66675</xdr:rowOff>
        </xdr:to>
        <xdr:sp macro="" textlink="">
          <xdr:nvSpPr>
            <xdr:cNvPr id="3124" name="obConsejo" hidden="1">
              <a:extLst>
                <a:ext uri="{63B3BB69-23CF-44E3-9099-C40C66FF867C}">
                  <a14:compatExt spid="_x0000_s3124"/>
                </a:ext>
                <a:ext uri="{FF2B5EF4-FFF2-40B4-BE49-F238E27FC236}">
                  <a16:creationId xmlns:a16="http://schemas.microsoft.com/office/drawing/2014/main" id="{00000000-0008-0000-01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14</xdr:row>
          <xdr:rowOff>47625</xdr:rowOff>
        </xdr:from>
        <xdr:to>
          <xdr:col>7</xdr:col>
          <xdr:colOff>304800</xdr:colOff>
          <xdr:row>15</xdr:row>
          <xdr:rowOff>123825</xdr:rowOff>
        </xdr:to>
        <xdr:sp macro="" textlink="">
          <xdr:nvSpPr>
            <xdr:cNvPr id="3125" name="cbPlastico" hidden="1">
              <a:extLst>
                <a:ext uri="{63B3BB69-23CF-44E3-9099-C40C66FF867C}">
                  <a14:compatExt spid="_x0000_s3125"/>
                </a:ext>
                <a:ext uri="{FF2B5EF4-FFF2-40B4-BE49-F238E27FC236}">
                  <a16:creationId xmlns:a16="http://schemas.microsoft.com/office/drawing/2014/main" id="{00000000-0008-0000-01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4</xdr:row>
          <xdr:rowOff>142875</xdr:rowOff>
        </xdr:from>
        <xdr:to>
          <xdr:col>12</xdr:col>
          <xdr:colOff>171450</xdr:colOff>
          <xdr:row>5</xdr:row>
          <xdr:rowOff>171450</xdr:rowOff>
        </xdr:to>
        <xdr:sp macro="" textlink="">
          <xdr:nvSpPr>
            <xdr:cNvPr id="3126" name="obE" hidden="1">
              <a:extLst>
                <a:ext uri="{63B3BB69-23CF-44E3-9099-C40C66FF867C}">
                  <a14:compatExt spid="_x0000_s3126"/>
                </a:ext>
                <a:ext uri="{FF2B5EF4-FFF2-40B4-BE49-F238E27FC236}">
                  <a16:creationId xmlns:a16="http://schemas.microsoft.com/office/drawing/2014/main" id="{00000000-0008-0000-0100-00003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266700</xdr:colOff>
          <xdr:row>2</xdr:row>
          <xdr:rowOff>0</xdr:rowOff>
        </xdr:from>
        <xdr:to>
          <xdr:col>13</xdr:col>
          <xdr:colOff>323850</xdr:colOff>
          <xdr:row>3</xdr:row>
          <xdr:rowOff>171450</xdr:rowOff>
        </xdr:to>
        <xdr:sp macro="" textlink="">
          <xdr:nvSpPr>
            <xdr:cNvPr id="4097" name="btRegresar"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32</xdr:row>
          <xdr:rowOff>123825</xdr:rowOff>
        </xdr:from>
        <xdr:to>
          <xdr:col>13</xdr:col>
          <xdr:colOff>876300</xdr:colOff>
          <xdr:row>36</xdr:row>
          <xdr:rowOff>19050</xdr:rowOff>
        </xdr:to>
        <xdr:sp macro="" textlink="">
          <xdr:nvSpPr>
            <xdr:cNvPr id="4098" name="btFechaRenovacion"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161925</xdr:colOff>
          <xdr:row>2</xdr:row>
          <xdr:rowOff>0</xdr:rowOff>
        </xdr:from>
        <xdr:to>
          <xdr:col>12</xdr:col>
          <xdr:colOff>219075</xdr:colOff>
          <xdr:row>4</xdr:row>
          <xdr:rowOff>76200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161925</xdr:colOff>
          <xdr:row>2</xdr:row>
          <xdr:rowOff>0</xdr:rowOff>
        </xdr:from>
        <xdr:to>
          <xdr:col>12</xdr:col>
          <xdr:colOff>219075</xdr:colOff>
          <xdr:row>4</xdr:row>
          <xdr:rowOff>76200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161925</xdr:colOff>
          <xdr:row>2</xdr:row>
          <xdr:rowOff>0</xdr:rowOff>
        </xdr:from>
        <xdr:to>
          <xdr:col>12</xdr:col>
          <xdr:colOff>219075</xdr:colOff>
          <xdr:row>4</xdr:row>
          <xdr:rowOff>76200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17.emf"/><Relationship Id="rId21" Type="http://schemas.openxmlformats.org/officeDocument/2006/relationships/image" Target="../media/image8.emf"/><Relationship Id="rId34" Type="http://schemas.openxmlformats.org/officeDocument/2006/relationships/control" Target="../activeX/activeX17.xml"/><Relationship Id="rId42" Type="http://schemas.openxmlformats.org/officeDocument/2006/relationships/control" Target="../activeX/activeX21.xml"/><Relationship Id="rId47" Type="http://schemas.openxmlformats.org/officeDocument/2006/relationships/control" Target="../activeX/activeX24.xml"/><Relationship Id="rId50" Type="http://schemas.openxmlformats.org/officeDocument/2006/relationships/image" Target="../media/image22.emf"/><Relationship Id="rId55" Type="http://schemas.openxmlformats.org/officeDocument/2006/relationships/control" Target="../activeX/activeX28.xml"/><Relationship Id="rId63" Type="http://schemas.openxmlformats.org/officeDocument/2006/relationships/control" Target="../activeX/activeX32.xml"/><Relationship Id="rId68" Type="http://schemas.openxmlformats.org/officeDocument/2006/relationships/image" Target="../media/image31.emf"/><Relationship Id="rId76" Type="http://schemas.openxmlformats.org/officeDocument/2006/relationships/image" Target="../media/image34.emf"/><Relationship Id="rId7" Type="http://schemas.openxmlformats.org/officeDocument/2006/relationships/image" Target="../media/image2.emf"/><Relationship Id="rId71" Type="http://schemas.openxmlformats.org/officeDocument/2006/relationships/control" Target="../activeX/activeX36.xml"/><Relationship Id="rId2" Type="http://schemas.openxmlformats.org/officeDocument/2006/relationships/drawing" Target="../drawings/drawing1.xml"/><Relationship Id="rId16" Type="http://schemas.openxmlformats.org/officeDocument/2006/relationships/control" Target="../activeX/activeX8.xml"/><Relationship Id="rId29" Type="http://schemas.openxmlformats.org/officeDocument/2006/relationships/image" Target="../media/image12.emf"/><Relationship Id="rId11" Type="http://schemas.openxmlformats.org/officeDocument/2006/relationships/control" Target="../activeX/activeX5.xml"/><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6.emf"/><Relationship Id="rId40" Type="http://schemas.openxmlformats.org/officeDocument/2006/relationships/control" Target="../activeX/activeX20.xml"/><Relationship Id="rId45" Type="http://schemas.openxmlformats.org/officeDocument/2006/relationships/control" Target="../activeX/activeX23.xml"/><Relationship Id="rId53" Type="http://schemas.openxmlformats.org/officeDocument/2006/relationships/control" Target="../activeX/activeX27.xml"/><Relationship Id="rId58" Type="http://schemas.openxmlformats.org/officeDocument/2006/relationships/image" Target="../media/image26.emf"/><Relationship Id="rId66" Type="http://schemas.openxmlformats.org/officeDocument/2006/relationships/image" Target="../media/image30.emf"/><Relationship Id="rId74" Type="http://schemas.openxmlformats.org/officeDocument/2006/relationships/image" Target="../media/image33.emf"/><Relationship Id="rId79" Type="http://schemas.openxmlformats.org/officeDocument/2006/relationships/control" Target="../activeX/activeX41.xml"/><Relationship Id="rId5" Type="http://schemas.openxmlformats.org/officeDocument/2006/relationships/image" Target="../media/image1.emf"/><Relationship Id="rId61" Type="http://schemas.openxmlformats.org/officeDocument/2006/relationships/control" Target="../activeX/activeX31.xml"/><Relationship Id="rId82" Type="http://schemas.openxmlformats.org/officeDocument/2006/relationships/image" Target="../media/image37.emf"/><Relationship Id="rId10" Type="http://schemas.openxmlformats.org/officeDocument/2006/relationships/image" Target="../media/image3.emf"/><Relationship Id="rId19" Type="http://schemas.openxmlformats.org/officeDocument/2006/relationships/image" Target="../media/image7.emf"/><Relationship Id="rId31" Type="http://schemas.openxmlformats.org/officeDocument/2006/relationships/image" Target="../media/image13.emf"/><Relationship Id="rId44" Type="http://schemas.openxmlformats.org/officeDocument/2006/relationships/image" Target="../media/image19.emf"/><Relationship Id="rId52" Type="http://schemas.openxmlformats.org/officeDocument/2006/relationships/image" Target="../media/image23.emf"/><Relationship Id="rId60" Type="http://schemas.openxmlformats.org/officeDocument/2006/relationships/image" Target="../media/image27.emf"/><Relationship Id="rId65" Type="http://schemas.openxmlformats.org/officeDocument/2006/relationships/control" Target="../activeX/activeX33.xml"/><Relationship Id="rId73" Type="http://schemas.openxmlformats.org/officeDocument/2006/relationships/control" Target="../activeX/activeX38.xml"/><Relationship Id="rId78" Type="http://schemas.openxmlformats.org/officeDocument/2006/relationships/image" Target="../media/image35.emf"/><Relationship Id="rId81" Type="http://schemas.openxmlformats.org/officeDocument/2006/relationships/control" Target="../activeX/activeX42.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image" Target="../media/image5.emf"/><Relationship Id="rId22" Type="http://schemas.openxmlformats.org/officeDocument/2006/relationships/control" Target="../activeX/activeX11.xml"/><Relationship Id="rId27" Type="http://schemas.openxmlformats.org/officeDocument/2006/relationships/image" Target="../media/image11.emf"/><Relationship Id="rId30" Type="http://schemas.openxmlformats.org/officeDocument/2006/relationships/control" Target="../activeX/activeX15.xml"/><Relationship Id="rId35" Type="http://schemas.openxmlformats.org/officeDocument/2006/relationships/image" Target="../media/image15.emf"/><Relationship Id="rId43" Type="http://schemas.openxmlformats.org/officeDocument/2006/relationships/control" Target="../activeX/activeX22.xml"/><Relationship Id="rId48" Type="http://schemas.openxmlformats.org/officeDocument/2006/relationships/image" Target="../media/image21.emf"/><Relationship Id="rId56" Type="http://schemas.openxmlformats.org/officeDocument/2006/relationships/image" Target="../media/image25.emf"/><Relationship Id="rId64" Type="http://schemas.openxmlformats.org/officeDocument/2006/relationships/image" Target="../media/image29.emf"/><Relationship Id="rId69" Type="http://schemas.openxmlformats.org/officeDocument/2006/relationships/control" Target="../activeX/activeX35.xml"/><Relationship Id="rId77" Type="http://schemas.openxmlformats.org/officeDocument/2006/relationships/control" Target="../activeX/activeX40.xml"/><Relationship Id="rId8" Type="http://schemas.openxmlformats.org/officeDocument/2006/relationships/control" Target="../activeX/activeX3.xml"/><Relationship Id="rId51" Type="http://schemas.openxmlformats.org/officeDocument/2006/relationships/control" Target="../activeX/activeX26.xml"/><Relationship Id="rId72" Type="http://schemas.openxmlformats.org/officeDocument/2006/relationships/control" Target="../activeX/activeX37.xml"/><Relationship Id="rId80" Type="http://schemas.openxmlformats.org/officeDocument/2006/relationships/image" Target="../media/image36.emf"/><Relationship Id="rId3" Type="http://schemas.openxmlformats.org/officeDocument/2006/relationships/vmlDrawing" Target="../drawings/vmlDrawing1.vml"/><Relationship Id="rId12" Type="http://schemas.openxmlformats.org/officeDocument/2006/relationships/image" Target="../media/image4.emf"/><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38" Type="http://schemas.openxmlformats.org/officeDocument/2006/relationships/control" Target="../activeX/activeX19.xml"/><Relationship Id="rId46" Type="http://schemas.openxmlformats.org/officeDocument/2006/relationships/image" Target="../media/image20.emf"/><Relationship Id="rId59" Type="http://schemas.openxmlformats.org/officeDocument/2006/relationships/control" Target="../activeX/activeX30.xml"/><Relationship Id="rId67" Type="http://schemas.openxmlformats.org/officeDocument/2006/relationships/control" Target="../activeX/activeX34.xml"/><Relationship Id="rId20" Type="http://schemas.openxmlformats.org/officeDocument/2006/relationships/control" Target="../activeX/activeX10.xml"/><Relationship Id="rId41" Type="http://schemas.openxmlformats.org/officeDocument/2006/relationships/image" Target="../media/image18.emf"/><Relationship Id="rId54" Type="http://schemas.openxmlformats.org/officeDocument/2006/relationships/image" Target="../media/image24.emf"/><Relationship Id="rId62" Type="http://schemas.openxmlformats.org/officeDocument/2006/relationships/image" Target="../media/image28.emf"/><Relationship Id="rId70" Type="http://schemas.openxmlformats.org/officeDocument/2006/relationships/image" Target="../media/image32.emf"/><Relationship Id="rId75" Type="http://schemas.openxmlformats.org/officeDocument/2006/relationships/control" Target="../activeX/activeX39.xml"/><Relationship Id="rId83" Type="http://schemas.openxmlformats.org/officeDocument/2006/relationships/ctrlProp" Target="../ctrlProps/ctrlProp1.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image" Target="../media/image9.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control" Target="../activeX/activeX25.xml"/><Relationship Id="rId57" Type="http://schemas.openxmlformats.org/officeDocument/2006/relationships/control" Target="../activeX/activeX2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9.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4.xml"/><Relationship Id="rId5" Type="http://schemas.openxmlformats.org/officeDocument/2006/relationships/image" Target="../media/image38.emf"/><Relationship Id="rId4" Type="http://schemas.openxmlformats.org/officeDocument/2006/relationships/control" Target="../activeX/activeX4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0.emf"/><Relationship Id="rId4" Type="http://schemas.openxmlformats.org/officeDocument/2006/relationships/control" Target="../activeX/activeX4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41.emf"/><Relationship Id="rId4" Type="http://schemas.openxmlformats.org/officeDocument/2006/relationships/control" Target="../activeX/activeX4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2.emf"/><Relationship Id="rId4" Type="http://schemas.openxmlformats.org/officeDocument/2006/relationships/control" Target="../activeX/activeX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
  <dimension ref="C3:L3"/>
  <sheetViews>
    <sheetView showGridLines="0" tabSelected="1" workbookViewId="0">
      <selection activeCell="C11" sqref="C11"/>
    </sheetView>
  </sheetViews>
  <sheetFormatPr baseColWidth="10" defaultRowHeight="15" x14ac:dyDescent="0.25"/>
  <cols>
    <col min="12" max="12" width="11.42578125" style="35"/>
  </cols>
  <sheetData>
    <row r="3" spans="3:3" ht="23.25" x14ac:dyDescent="0.35">
      <c r="C3" s="34" t="s">
        <v>78</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B1:J21"/>
  <sheetViews>
    <sheetView showGridLines="0" workbookViewId="0">
      <selection activeCell="B3" sqref="B3"/>
    </sheetView>
  </sheetViews>
  <sheetFormatPr baseColWidth="10" defaultRowHeight="15" x14ac:dyDescent="0.25"/>
  <cols>
    <col min="1" max="1" width="1.28515625" customWidth="1"/>
    <col min="8" max="9" width="11.42578125" customWidth="1"/>
  </cols>
  <sheetData>
    <row r="1" spans="2:6" ht="5.25" customHeight="1" x14ac:dyDescent="0.25"/>
    <row r="2" spans="2:6" x14ac:dyDescent="0.25">
      <c r="B2" t="s">
        <v>93</v>
      </c>
    </row>
    <row r="16" spans="2:6" x14ac:dyDescent="0.25">
      <c r="F16" s="44"/>
    </row>
    <row r="17" spans="2:10" ht="38.25" x14ac:dyDescent="0.25">
      <c r="B17" s="30" t="s">
        <v>69</v>
      </c>
      <c r="C17" s="30" t="s">
        <v>70</v>
      </c>
      <c r="D17" s="30" t="s">
        <v>71</v>
      </c>
      <c r="E17" s="30" t="s">
        <v>76</v>
      </c>
      <c r="F17" s="50" t="s">
        <v>86</v>
      </c>
      <c r="G17" s="50" t="s">
        <v>77</v>
      </c>
      <c r="H17" s="30" t="s">
        <v>72</v>
      </c>
    </row>
    <row r="18" spans="2:10" x14ac:dyDescent="0.25">
      <c r="B18" s="33"/>
      <c r="C18" s="33"/>
      <c r="D18" s="33"/>
      <c r="E18" s="32">
        <f>+VENCIMIENTO-FECHA_DESEMBOLSO</f>
        <v>0</v>
      </c>
      <c r="F18" s="54">
        <v>43518</v>
      </c>
      <c r="G18" s="51"/>
      <c r="H18" s="32">
        <f>+NUEVO_PLAZO_DIAS+PLAZO</f>
        <v>0</v>
      </c>
    </row>
    <row r="20" spans="2:10" x14ac:dyDescent="0.25">
      <c r="J20" s="3"/>
    </row>
    <row r="21" spans="2:10" x14ac:dyDescent="0.25">
      <c r="J21" s="3"/>
    </row>
  </sheetData>
  <sheetProtection algorithmName="SHA-512" hashValue="GaqugAZ9CIf9FXTDLMJYx9yvQciuzN7m27BlARdQC/IPoFwy9fi7WHPeJEdFQbtHJYhkqoritVqy5UcjG+vnFw==" saltValue="gVQZRKPtHS35bMW9NiqVMA==" spinCount="100000" sheet="1" objects="1" scenarios="1"/>
  <pageMargins left="0.70866141732283472" right="0.70866141732283472" top="0.74803149606299213" bottom="0.74803149606299213" header="0.31496062992125984" footer="0.31496062992125984"/>
  <pageSetup paperSize="9" scale="80" orientation="portrait" r:id="rId1"/>
  <drawing r:id="rId2"/>
  <legacyDrawing r:id="rId3"/>
  <controls>
    <mc:AlternateContent xmlns:mc="http://schemas.openxmlformats.org/markup-compatibility/2006">
      <mc:Choice Requires="x14">
        <control shapeId="3125" r:id="rId4" name="cbPlastico">
          <controlPr autoLine="0" autoPict="0" r:id="rId5">
            <anchor moveWithCells="1">
              <from>
                <xdr:col>6</xdr:col>
                <xdr:colOff>371475</xdr:colOff>
                <xdr:row>14</xdr:row>
                <xdr:rowOff>47625</xdr:rowOff>
              </from>
              <to>
                <xdr:col>7</xdr:col>
                <xdr:colOff>304800</xdr:colOff>
                <xdr:row>15</xdr:row>
                <xdr:rowOff>123825</xdr:rowOff>
              </to>
            </anchor>
          </controlPr>
        </control>
      </mc:Choice>
      <mc:Fallback>
        <control shapeId="3125" r:id="rId4" name="cbPlastico"/>
      </mc:Fallback>
    </mc:AlternateContent>
    <mc:AlternateContent xmlns:mc="http://schemas.openxmlformats.org/markup-compatibility/2006">
      <mc:Choice Requires="x14">
        <control shapeId="3120" r:id="rId6" name="tbNombreC">
          <controlPr defaultSize="0" disabled="1" autoLine="0" r:id="rId7">
            <anchor moveWithCells="1">
              <from>
                <xdr:col>13</xdr:col>
                <xdr:colOff>304800</xdr:colOff>
                <xdr:row>2</xdr:row>
                <xdr:rowOff>0</xdr:rowOff>
              </from>
              <to>
                <xdr:col>15</xdr:col>
                <xdr:colOff>361950</xdr:colOff>
                <xdr:row>3</xdr:row>
                <xdr:rowOff>85725</xdr:rowOff>
              </to>
            </anchor>
          </controlPr>
        </control>
      </mc:Choice>
      <mc:Fallback>
        <control shapeId="3120" r:id="rId6" name="tbNombreC"/>
      </mc:Fallback>
    </mc:AlternateContent>
    <mc:AlternateContent xmlns:mc="http://schemas.openxmlformats.org/markup-compatibility/2006">
      <mc:Choice Requires="x14">
        <control shapeId="3119" r:id="rId8" name="tbDirC">
          <controlPr defaultSize="0" disabled="1" autoLine="0" r:id="rId7">
            <anchor moveWithCells="1">
              <from>
                <xdr:col>13</xdr:col>
                <xdr:colOff>304800</xdr:colOff>
                <xdr:row>6</xdr:row>
                <xdr:rowOff>0</xdr:rowOff>
              </from>
              <to>
                <xdr:col>15</xdr:col>
                <xdr:colOff>361950</xdr:colOff>
                <xdr:row>7</xdr:row>
                <xdr:rowOff>85725</xdr:rowOff>
              </to>
            </anchor>
          </controlPr>
        </control>
      </mc:Choice>
      <mc:Fallback>
        <control shapeId="3119" r:id="rId8" name="tbDirC"/>
      </mc:Fallback>
    </mc:AlternateContent>
    <mc:AlternateContent xmlns:mc="http://schemas.openxmlformats.org/markup-compatibility/2006">
      <mc:Choice Requires="x14">
        <control shapeId="3117" r:id="rId9" name="Label19">
          <controlPr defaultSize="0" autoLine="0" r:id="rId10">
            <anchor moveWithCells="1">
              <from>
                <xdr:col>12</xdr:col>
                <xdr:colOff>381000</xdr:colOff>
                <xdr:row>2</xdr:row>
                <xdr:rowOff>47625</xdr:rowOff>
              </from>
              <to>
                <xdr:col>13</xdr:col>
                <xdr:colOff>257175</xdr:colOff>
                <xdr:row>3</xdr:row>
                <xdr:rowOff>57150</xdr:rowOff>
              </to>
            </anchor>
          </controlPr>
        </control>
      </mc:Choice>
      <mc:Fallback>
        <control shapeId="3117" r:id="rId9" name="Label19"/>
      </mc:Fallback>
    </mc:AlternateContent>
    <mc:AlternateContent xmlns:mc="http://schemas.openxmlformats.org/markup-compatibility/2006">
      <mc:Choice Requires="x14">
        <control shapeId="3116" r:id="rId11" name="Label18">
          <controlPr defaultSize="0" autoLine="0" r:id="rId12">
            <anchor moveWithCells="1">
              <from>
                <xdr:col>12</xdr:col>
                <xdr:colOff>381000</xdr:colOff>
                <xdr:row>6</xdr:row>
                <xdr:rowOff>38100</xdr:rowOff>
              </from>
              <to>
                <xdr:col>13</xdr:col>
                <xdr:colOff>238125</xdr:colOff>
                <xdr:row>7</xdr:row>
                <xdr:rowOff>76200</xdr:rowOff>
              </to>
            </anchor>
          </controlPr>
        </control>
      </mc:Choice>
      <mc:Fallback>
        <control shapeId="3116" r:id="rId11" name="Label18"/>
      </mc:Fallback>
    </mc:AlternateContent>
    <mc:AlternateContent xmlns:mc="http://schemas.openxmlformats.org/markup-compatibility/2006">
      <mc:Choice Requires="x14">
        <control shapeId="3115" r:id="rId13" name="Label17">
          <controlPr defaultSize="0" autoLine="0" r:id="rId14">
            <anchor moveWithCells="1">
              <from>
                <xdr:col>12</xdr:col>
                <xdr:colOff>381000</xdr:colOff>
                <xdr:row>4</xdr:row>
                <xdr:rowOff>38100</xdr:rowOff>
              </from>
              <to>
                <xdr:col>13</xdr:col>
                <xdr:colOff>104775</xdr:colOff>
                <xdr:row>5</xdr:row>
                <xdr:rowOff>66675</xdr:rowOff>
              </to>
            </anchor>
          </controlPr>
        </control>
      </mc:Choice>
      <mc:Fallback>
        <control shapeId="3115" r:id="rId13" name="Label17"/>
      </mc:Fallback>
    </mc:AlternateContent>
    <mc:AlternateContent xmlns:mc="http://schemas.openxmlformats.org/markup-compatibility/2006">
      <mc:Choice Requires="x14">
        <control shapeId="3113" r:id="rId15" name="tbDNIC">
          <controlPr defaultSize="0" disabled="1" autoLine="0" r:id="rId7">
            <anchor moveWithCells="1">
              <from>
                <xdr:col>13</xdr:col>
                <xdr:colOff>304800</xdr:colOff>
                <xdr:row>4</xdr:row>
                <xdr:rowOff>0</xdr:rowOff>
              </from>
              <to>
                <xdr:col>15</xdr:col>
                <xdr:colOff>361950</xdr:colOff>
                <xdr:row>5</xdr:row>
                <xdr:rowOff>85725</xdr:rowOff>
              </to>
            </anchor>
          </controlPr>
        </control>
      </mc:Choice>
      <mc:Fallback>
        <control shapeId="3113" r:id="rId15" name="tbDNIC"/>
      </mc:Fallback>
    </mc:AlternateContent>
    <mc:AlternateContent xmlns:mc="http://schemas.openxmlformats.org/markup-compatibility/2006">
      <mc:Choice Requires="x14">
        <control shapeId="3112" r:id="rId16" name="Label16">
          <controlPr defaultSize="0" autoLine="0" autoPict="0" r:id="rId17">
            <anchor moveWithCells="1">
              <from>
                <xdr:col>8</xdr:col>
                <xdr:colOff>552450</xdr:colOff>
                <xdr:row>3</xdr:row>
                <xdr:rowOff>57150</xdr:rowOff>
              </from>
              <to>
                <xdr:col>10</xdr:col>
                <xdr:colOff>66675</xdr:colOff>
                <xdr:row>4</xdr:row>
                <xdr:rowOff>95250</xdr:rowOff>
              </to>
            </anchor>
          </controlPr>
        </control>
      </mc:Choice>
      <mc:Fallback>
        <control shapeId="3112" r:id="rId16" name="Label16"/>
      </mc:Fallback>
    </mc:AlternateContent>
    <mc:AlternateContent xmlns:mc="http://schemas.openxmlformats.org/markup-compatibility/2006">
      <mc:Choice Requires="x14">
        <control shapeId="3111" r:id="rId18" name="tbDirS">
          <controlPr defaultSize="0" autoLine="0" r:id="rId19">
            <anchor moveWithCells="1">
              <from>
                <xdr:col>10</xdr:col>
                <xdr:colOff>85725</xdr:colOff>
                <xdr:row>3</xdr:row>
                <xdr:rowOff>28575</xdr:rowOff>
              </from>
              <to>
                <xdr:col>12</xdr:col>
                <xdr:colOff>133350</xdr:colOff>
                <xdr:row>4</xdr:row>
                <xdr:rowOff>114300</xdr:rowOff>
              </to>
            </anchor>
          </controlPr>
        </control>
      </mc:Choice>
      <mc:Fallback>
        <control shapeId="3111" r:id="rId18" name="tbDirS"/>
      </mc:Fallback>
    </mc:AlternateContent>
    <mc:AlternateContent xmlns:mc="http://schemas.openxmlformats.org/markup-compatibility/2006">
      <mc:Choice Requires="x14">
        <control shapeId="3110" r:id="rId20" name="Label15">
          <controlPr defaultSize="0" autoLine="0" r:id="rId21">
            <anchor moveWithCells="1">
              <from>
                <xdr:col>8</xdr:col>
                <xdr:colOff>552450</xdr:colOff>
                <xdr:row>1</xdr:row>
                <xdr:rowOff>123825</xdr:rowOff>
              </from>
              <to>
                <xdr:col>9</xdr:col>
                <xdr:colOff>476250</xdr:colOff>
                <xdr:row>2</xdr:row>
                <xdr:rowOff>161925</xdr:rowOff>
              </to>
            </anchor>
          </controlPr>
        </control>
      </mc:Choice>
      <mc:Fallback>
        <control shapeId="3110" r:id="rId20" name="Label15"/>
      </mc:Fallback>
    </mc:AlternateContent>
    <mc:AlternateContent xmlns:mc="http://schemas.openxmlformats.org/markup-compatibility/2006">
      <mc:Choice Requires="x14">
        <control shapeId="3109" r:id="rId22" name="tbDNIS">
          <controlPr defaultSize="0" autoLine="0" r:id="rId23">
            <anchor moveWithCells="1">
              <from>
                <xdr:col>10</xdr:col>
                <xdr:colOff>85725</xdr:colOff>
                <xdr:row>1</xdr:row>
                <xdr:rowOff>85725</xdr:rowOff>
              </from>
              <to>
                <xdr:col>12</xdr:col>
                <xdr:colOff>142875</xdr:colOff>
                <xdr:row>2</xdr:row>
                <xdr:rowOff>171450</xdr:rowOff>
              </to>
            </anchor>
          </controlPr>
        </control>
      </mc:Choice>
      <mc:Fallback>
        <control shapeId="3109" r:id="rId22" name="tbDNIS"/>
      </mc:Fallback>
    </mc:AlternateContent>
    <mc:AlternateContent xmlns:mc="http://schemas.openxmlformats.org/markup-compatibility/2006">
      <mc:Choice Requires="x14">
        <control shapeId="3108" r:id="rId24" name="obHistorico">
          <controlPr defaultSize="0" autoLine="0" r:id="rId25">
            <anchor moveWithCells="1">
              <from>
                <xdr:col>16</xdr:col>
                <xdr:colOff>57150</xdr:colOff>
                <xdr:row>10</xdr:row>
                <xdr:rowOff>95250</xdr:rowOff>
              </from>
              <to>
                <xdr:col>17</xdr:col>
                <xdr:colOff>85725</xdr:colOff>
                <xdr:row>16</xdr:row>
                <xdr:rowOff>352425</xdr:rowOff>
              </to>
            </anchor>
          </controlPr>
        </control>
      </mc:Choice>
      <mc:Fallback>
        <control shapeId="3108" r:id="rId24" name="obHistorico"/>
      </mc:Fallback>
    </mc:AlternateContent>
    <mc:AlternateContent xmlns:mc="http://schemas.openxmlformats.org/markup-compatibility/2006">
      <mc:Choice Requires="x14">
        <control shapeId="3107" r:id="rId26" name="btnAdenda">
          <controlPr defaultSize="0" autoLine="0" r:id="rId27">
            <anchor moveWithCells="1">
              <from>
                <xdr:col>9</xdr:col>
                <xdr:colOff>285750</xdr:colOff>
                <xdr:row>6</xdr:row>
                <xdr:rowOff>0</xdr:rowOff>
              </from>
              <to>
                <xdr:col>11</xdr:col>
                <xdr:colOff>342900</xdr:colOff>
                <xdr:row>8</xdr:row>
                <xdr:rowOff>28575</xdr:rowOff>
              </to>
            </anchor>
          </controlPr>
        </control>
      </mc:Choice>
      <mc:Fallback>
        <control shapeId="3107" r:id="rId26" name="btnAdenda"/>
      </mc:Fallback>
    </mc:AlternateContent>
    <mc:AlternateContent xmlns:mc="http://schemas.openxmlformats.org/markup-compatibility/2006">
      <mc:Choice Requires="x14">
        <control shapeId="3106" r:id="rId28" name="btnAprobacion">
          <controlPr defaultSize="0" autoLine="0" r:id="rId29">
            <anchor moveWithCells="1">
              <from>
                <xdr:col>13</xdr:col>
                <xdr:colOff>190500</xdr:colOff>
                <xdr:row>11</xdr:row>
                <xdr:rowOff>85725</xdr:rowOff>
              </from>
              <to>
                <xdr:col>15</xdr:col>
                <xdr:colOff>247650</xdr:colOff>
                <xdr:row>13</xdr:row>
                <xdr:rowOff>114300</xdr:rowOff>
              </to>
            </anchor>
          </controlPr>
        </control>
      </mc:Choice>
      <mc:Fallback>
        <control shapeId="3106" r:id="rId28" name="btnAprobacion"/>
      </mc:Fallback>
    </mc:AlternateContent>
    <mc:AlternateContent xmlns:mc="http://schemas.openxmlformats.org/markup-compatibility/2006">
      <mc:Choice Requires="x14">
        <control shapeId="3104" r:id="rId30" name="Label13">
          <controlPr defaultSize="0" autoLine="0" r:id="rId31">
            <anchor moveWithCells="1">
              <from>
                <xdr:col>8</xdr:col>
                <xdr:colOff>600075</xdr:colOff>
                <xdr:row>14</xdr:row>
                <xdr:rowOff>142875</xdr:rowOff>
              </from>
              <to>
                <xdr:col>9</xdr:col>
                <xdr:colOff>600075</xdr:colOff>
                <xdr:row>16</xdr:row>
                <xdr:rowOff>38100</xdr:rowOff>
              </to>
            </anchor>
          </controlPr>
        </control>
      </mc:Choice>
      <mc:Fallback>
        <control shapeId="3104" r:id="rId30" name="Label13"/>
      </mc:Fallback>
    </mc:AlternateContent>
    <mc:AlternateContent xmlns:mc="http://schemas.openxmlformats.org/markup-compatibility/2006">
      <mc:Choice Requires="x14">
        <control shapeId="3103" r:id="rId32" name="Label12">
          <controlPr defaultSize="0" autoLine="0" r:id="rId33">
            <anchor moveWithCells="1">
              <from>
                <xdr:col>8</xdr:col>
                <xdr:colOff>600075</xdr:colOff>
                <xdr:row>12</xdr:row>
                <xdr:rowOff>142875</xdr:rowOff>
              </from>
              <to>
                <xdr:col>10</xdr:col>
                <xdr:colOff>85725</xdr:colOff>
                <xdr:row>14</xdr:row>
                <xdr:rowOff>38100</xdr:rowOff>
              </to>
            </anchor>
          </controlPr>
        </control>
      </mc:Choice>
      <mc:Fallback>
        <control shapeId="3103" r:id="rId32" name="Label12"/>
      </mc:Fallback>
    </mc:AlternateContent>
    <mc:AlternateContent xmlns:mc="http://schemas.openxmlformats.org/markup-compatibility/2006">
      <mc:Choice Requires="x14">
        <control shapeId="3102" r:id="rId34" name="Label11">
          <controlPr defaultSize="0" autoLine="0" r:id="rId35">
            <anchor moveWithCells="1">
              <from>
                <xdr:col>1</xdr:col>
                <xdr:colOff>504825</xdr:colOff>
                <xdr:row>1</xdr:row>
                <xdr:rowOff>66675</xdr:rowOff>
              </from>
              <to>
                <xdr:col>3</xdr:col>
                <xdr:colOff>133350</xdr:colOff>
                <xdr:row>2</xdr:row>
                <xdr:rowOff>152400</xdr:rowOff>
              </to>
            </anchor>
          </controlPr>
        </control>
      </mc:Choice>
      <mc:Fallback>
        <control shapeId="3102" r:id="rId34" name="Label11"/>
      </mc:Fallback>
    </mc:AlternateContent>
    <mc:AlternateContent xmlns:mc="http://schemas.openxmlformats.org/markup-compatibility/2006">
      <mc:Choice Requires="x14">
        <control shapeId="3101" r:id="rId36" name="Label10">
          <controlPr defaultSize="0" autoLine="0" r:id="rId37">
            <anchor moveWithCells="1">
              <from>
                <xdr:col>8</xdr:col>
                <xdr:colOff>600075</xdr:colOff>
                <xdr:row>10</xdr:row>
                <xdr:rowOff>142875</xdr:rowOff>
              </from>
              <to>
                <xdr:col>10</xdr:col>
                <xdr:colOff>66675</xdr:colOff>
                <xdr:row>12</xdr:row>
                <xdr:rowOff>38100</xdr:rowOff>
              </to>
            </anchor>
          </controlPr>
        </control>
      </mc:Choice>
      <mc:Fallback>
        <control shapeId="3101" r:id="rId36" name="Label10"/>
      </mc:Fallback>
    </mc:AlternateContent>
    <mc:AlternateContent xmlns:mc="http://schemas.openxmlformats.org/markup-compatibility/2006">
      <mc:Choice Requires="x14">
        <control shapeId="3098" r:id="rId38" name="tbGarantias">
          <controlPr defaultSize="0" autoLine="0" r:id="rId39">
            <anchor moveWithCells="1">
              <from>
                <xdr:col>10</xdr:col>
                <xdr:colOff>85725</xdr:colOff>
                <xdr:row>14</xdr:row>
                <xdr:rowOff>152400</xdr:rowOff>
              </from>
              <to>
                <xdr:col>14</xdr:col>
                <xdr:colOff>609600</xdr:colOff>
                <xdr:row>16</xdr:row>
                <xdr:rowOff>428625</xdr:rowOff>
              </to>
            </anchor>
          </controlPr>
        </control>
      </mc:Choice>
      <mc:Fallback>
        <control shapeId="3098" r:id="rId38" name="tbGarantias"/>
      </mc:Fallback>
    </mc:AlternateContent>
    <mc:AlternateContent xmlns:mc="http://schemas.openxmlformats.org/markup-compatibility/2006">
      <mc:Choice Requires="x14">
        <control shapeId="3097" r:id="rId40" name="tbNRenov">
          <controlPr defaultSize="0" autoLine="0" r:id="rId41">
            <anchor moveWithCells="1">
              <from>
                <xdr:col>10</xdr:col>
                <xdr:colOff>85725</xdr:colOff>
                <xdr:row>12</xdr:row>
                <xdr:rowOff>133350</xdr:rowOff>
              </from>
              <to>
                <xdr:col>11</xdr:col>
                <xdr:colOff>342900</xdr:colOff>
                <xdr:row>14</xdr:row>
                <xdr:rowOff>28575</xdr:rowOff>
              </to>
            </anchor>
          </controlPr>
        </control>
      </mc:Choice>
      <mc:Fallback>
        <control shapeId="3097" r:id="rId40" name="tbNRenov"/>
      </mc:Fallback>
    </mc:AlternateContent>
    <mc:AlternateContent xmlns:mc="http://schemas.openxmlformats.org/markup-compatibility/2006">
      <mc:Choice Requires="x14">
        <control shapeId="3096" r:id="rId42" name="tbCSocio">
          <controlPr defaultSize="0" autoLine="0" r:id="rId41">
            <anchor moveWithCells="1">
              <from>
                <xdr:col>10</xdr:col>
                <xdr:colOff>85725</xdr:colOff>
                <xdr:row>10</xdr:row>
                <xdr:rowOff>133350</xdr:rowOff>
              </from>
              <to>
                <xdr:col>11</xdr:col>
                <xdr:colOff>342900</xdr:colOff>
                <xdr:row>12</xdr:row>
                <xdr:rowOff>28575</xdr:rowOff>
              </to>
            </anchor>
          </controlPr>
        </control>
      </mc:Choice>
      <mc:Fallback>
        <control shapeId="3096" r:id="rId42" name="tbCSocio"/>
      </mc:Fallback>
    </mc:AlternateContent>
    <mc:AlternateContent xmlns:mc="http://schemas.openxmlformats.org/markup-compatibility/2006">
      <mc:Choice Requires="x14">
        <control shapeId="3095" r:id="rId43" name="tbNomSocio">
          <controlPr defaultSize="0" autoLine="0" autoPict="0" r:id="rId44">
            <anchor moveWithCells="1">
              <from>
                <xdr:col>3</xdr:col>
                <xdr:colOff>381000</xdr:colOff>
                <xdr:row>1</xdr:row>
                <xdr:rowOff>66675</xdr:rowOff>
              </from>
              <to>
                <xdr:col>8</xdr:col>
                <xdr:colOff>133350</xdr:colOff>
                <xdr:row>2</xdr:row>
                <xdr:rowOff>152400</xdr:rowOff>
              </to>
            </anchor>
          </controlPr>
        </control>
      </mc:Choice>
      <mc:Fallback>
        <control shapeId="3095" r:id="rId43" name="tbNomSocio"/>
      </mc:Fallback>
    </mc:AlternateContent>
    <mc:AlternateContent xmlns:mc="http://schemas.openxmlformats.org/markup-compatibility/2006">
      <mc:Choice Requires="x14">
        <control shapeId="3094" r:id="rId45" name="Label9">
          <controlPr defaultSize="0" autoLine="0" r:id="rId46">
            <anchor moveWithCells="1">
              <from>
                <xdr:col>1</xdr:col>
                <xdr:colOff>504825</xdr:colOff>
                <xdr:row>13</xdr:row>
                <xdr:rowOff>57150</xdr:rowOff>
              </from>
              <to>
                <xdr:col>3</xdr:col>
                <xdr:colOff>161925</xdr:colOff>
                <xdr:row>14</xdr:row>
                <xdr:rowOff>142875</xdr:rowOff>
              </to>
            </anchor>
          </controlPr>
        </control>
      </mc:Choice>
      <mc:Fallback>
        <control shapeId="3094" r:id="rId45" name="Label9"/>
      </mc:Fallback>
    </mc:AlternateContent>
    <mc:AlternateContent xmlns:mc="http://schemas.openxmlformats.org/markup-compatibility/2006">
      <mc:Choice Requires="x14">
        <control shapeId="3091" r:id="rId47" name="Label6">
          <controlPr defaultSize="0" autoLine="0" r:id="rId48">
            <anchor moveWithCells="1">
              <from>
                <xdr:col>1</xdr:col>
                <xdr:colOff>504825</xdr:colOff>
                <xdr:row>9</xdr:row>
                <xdr:rowOff>57150</xdr:rowOff>
              </from>
              <to>
                <xdr:col>2</xdr:col>
                <xdr:colOff>457200</xdr:colOff>
                <xdr:row>10</xdr:row>
                <xdr:rowOff>142875</xdr:rowOff>
              </to>
            </anchor>
          </controlPr>
        </control>
      </mc:Choice>
      <mc:Fallback>
        <control shapeId="3091" r:id="rId47" name="Label6"/>
      </mc:Fallback>
    </mc:AlternateContent>
    <mc:AlternateContent xmlns:mc="http://schemas.openxmlformats.org/markup-compatibility/2006">
      <mc:Choice Requires="x14">
        <control shapeId="3090" r:id="rId49" name="Label5">
          <controlPr defaultSize="0" autoLine="0" r:id="rId50">
            <anchor moveWithCells="1">
              <from>
                <xdr:col>1</xdr:col>
                <xdr:colOff>504825</xdr:colOff>
                <xdr:row>11</xdr:row>
                <xdr:rowOff>57150</xdr:rowOff>
              </from>
              <to>
                <xdr:col>2</xdr:col>
                <xdr:colOff>457200</xdr:colOff>
                <xdr:row>12</xdr:row>
                <xdr:rowOff>142875</xdr:rowOff>
              </to>
            </anchor>
          </controlPr>
        </control>
      </mc:Choice>
      <mc:Fallback>
        <control shapeId="3090" r:id="rId49" name="Label5"/>
      </mc:Fallback>
    </mc:AlternateContent>
    <mc:AlternateContent xmlns:mc="http://schemas.openxmlformats.org/markup-compatibility/2006">
      <mc:Choice Requires="x14">
        <control shapeId="3089" r:id="rId51" name="Label4">
          <controlPr defaultSize="0" autoLine="0" r:id="rId52">
            <anchor moveWithCells="1">
              <from>
                <xdr:col>1</xdr:col>
                <xdr:colOff>504825</xdr:colOff>
                <xdr:row>5</xdr:row>
                <xdr:rowOff>66675</xdr:rowOff>
              </from>
              <to>
                <xdr:col>3</xdr:col>
                <xdr:colOff>304800</xdr:colOff>
                <xdr:row>6</xdr:row>
                <xdr:rowOff>152400</xdr:rowOff>
              </to>
            </anchor>
          </controlPr>
        </control>
      </mc:Choice>
      <mc:Fallback>
        <control shapeId="3089" r:id="rId51" name="Label4"/>
      </mc:Fallback>
    </mc:AlternateContent>
    <mc:AlternateContent xmlns:mc="http://schemas.openxmlformats.org/markup-compatibility/2006">
      <mc:Choice Requires="x14">
        <control shapeId="3088" r:id="rId53" name="Label3">
          <controlPr defaultSize="0" autoLine="0" r:id="rId54">
            <anchor moveWithCells="1">
              <from>
                <xdr:col>1</xdr:col>
                <xdr:colOff>504825</xdr:colOff>
                <xdr:row>7</xdr:row>
                <xdr:rowOff>66675</xdr:rowOff>
              </from>
              <to>
                <xdr:col>3</xdr:col>
                <xdr:colOff>304800</xdr:colOff>
                <xdr:row>8</xdr:row>
                <xdr:rowOff>152400</xdr:rowOff>
              </to>
            </anchor>
          </controlPr>
        </control>
      </mc:Choice>
      <mc:Fallback>
        <control shapeId="3088" r:id="rId53" name="Label3"/>
      </mc:Fallback>
    </mc:AlternateContent>
    <mc:AlternateContent xmlns:mc="http://schemas.openxmlformats.org/markup-compatibility/2006">
      <mc:Choice Requires="x14">
        <control shapeId="3086" r:id="rId55" name="Label1">
          <controlPr defaultSize="0" autoLine="0" r:id="rId56">
            <anchor moveWithCells="1">
              <from>
                <xdr:col>1</xdr:col>
                <xdr:colOff>504825</xdr:colOff>
                <xdr:row>3</xdr:row>
                <xdr:rowOff>66675</xdr:rowOff>
              </from>
              <to>
                <xdr:col>3</xdr:col>
                <xdr:colOff>333375</xdr:colOff>
                <xdr:row>4</xdr:row>
                <xdr:rowOff>152400</xdr:rowOff>
              </to>
            </anchor>
          </controlPr>
        </control>
      </mc:Choice>
      <mc:Fallback>
        <control shapeId="3086" r:id="rId55" name="Label1"/>
      </mc:Fallback>
    </mc:AlternateContent>
    <mc:AlternateContent xmlns:mc="http://schemas.openxmlformats.org/markup-compatibility/2006">
      <mc:Choice Requires="x14">
        <control shapeId="3085" r:id="rId57" name="obC">
          <controlPr defaultSize="0" autoLine="0" r:id="rId58">
            <anchor moveWithCells="1">
              <from>
                <xdr:col>10</xdr:col>
                <xdr:colOff>19050</xdr:colOff>
                <xdr:row>4</xdr:row>
                <xdr:rowOff>142875</xdr:rowOff>
              </from>
              <to>
                <xdr:col>11</xdr:col>
                <xdr:colOff>19050</xdr:colOff>
                <xdr:row>5</xdr:row>
                <xdr:rowOff>171450</xdr:rowOff>
              </to>
            </anchor>
          </controlPr>
        </control>
      </mc:Choice>
      <mc:Fallback>
        <control shapeId="3085" r:id="rId57" name="obC"/>
      </mc:Fallback>
    </mc:AlternateContent>
    <mc:AlternateContent xmlns:mc="http://schemas.openxmlformats.org/markup-compatibility/2006">
      <mc:Choice Requires="x14">
        <control shapeId="3084" r:id="rId59" name="obS">
          <controlPr defaultSize="0" autoLine="0" r:id="rId60">
            <anchor moveWithCells="1">
              <from>
                <xdr:col>8</xdr:col>
                <xdr:colOff>590550</xdr:colOff>
                <xdr:row>4</xdr:row>
                <xdr:rowOff>142875</xdr:rowOff>
              </from>
              <to>
                <xdr:col>9</xdr:col>
                <xdr:colOff>590550</xdr:colOff>
                <xdr:row>5</xdr:row>
                <xdr:rowOff>161925</xdr:rowOff>
              </to>
            </anchor>
          </controlPr>
        </control>
      </mc:Choice>
      <mc:Fallback>
        <control shapeId="3084" r:id="rId59" name="obS"/>
      </mc:Fallback>
    </mc:AlternateContent>
    <mc:AlternateContent xmlns:mc="http://schemas.openxmlformats.org/markup-compatibility/2006">
      <mc:Choice Requires="x14">
        <control shapeId="3082" r:id="rId61" name="tbTEA">
          <controlPr defaultSize="0" autoLine="0" r:id="rId62">
            <anchor moveWithCells="1">
              <from>
                <xdr:col>3</xdr:col>
                <xdr:colOff>381000</xdr:colOff>
                <xdr:row>13</xdr:row>
                <xdr:rowOff>57150</xdr:rowOff>
              </from>
              <to>
                <xdr:col>6</xdr:col>
                <xdr:colOff>0</xdr:colOff>
                <xdr:row>14</xdr:row>
                <xdr:rowOff>161925</xdr:rowOff>
              </to>
            </anchor>
          </controlPr>
        </control>
      </mc:Choice>
      <mc:Fallback>
        <control shapeId="3082" r:id="rId61" name="tbTEA"/>
      </mc:Fallback>
    </mc:AlternateContent>
    <mc:AlternateContent xmlns:mc="http://schemas.openxmlformats.org/markup-compatibility/2006">
      <mc:Choice Requires="x14">
        <control shapeId="3079" r:id="rId63" name="obDolares">
          <controlPr defaultSize="0" autoLine="0" r:id="rId64">
            <anchor moveWithCells="1">
              <from>
                <xdr:col>4</xdr:col>
                <xdr:colOff>171450</xdr:colOff>
                <xdr:row>11</xdr:row>
                <xdr:rowOff>66675</xdr:rowOff>
              </from>
              <to>
                <xdr:col>4</xdr:col>
                <xdr:colOff>609600</xdr:colOff>
                <xdr:row>12</xdr:row>
                <xdr:rowOff>104775</xdr:rowOff>
              </to>
            </anchor>
          </controlPr>
        </control>
      </mc:Choice>
      <mc:Fallback>
        <control shapeId="3079" r:id="rId63" name="obDolares"/>
      </mc:Fallback>
    </mc:AlternateContent>
    <mc:AlternateContent xmlns:mc="http://schemas.openxmlformats.org/markup-compatibility/2006">
      <mc:Choice Requires="x14">
        <control shapeId="3078" r:id="rId65" name="obSoles">
          <controlPr defaultSize="0" autoLine="0" r:id="rId66">
            <anchor moveWithCells="1">
              <from>
                <xdr:col>3</xdr:col>
                <xdr:colOff>381000</xdr:colOff>
                <xdr:row>11</xdr:row>
                <xdr:rowOff>66675</xdr:rowOff>
              </from>
              <to>
                <xdr:col>4</xdr:col>
                <xdr:colOff>57150</xdr:colOff>
                <xdr:row>12</xdr:row>
                <xdr:rowOff>114300</xdr:rowOff>
              </to>
            </anchor>
          </controlPr>
        </control>
      </mc:Choice>
      <mc:Fallback>
        <control shapeId="3078" r:id="rId65" name="obSoles"/>
      </mc:Fallback>
    </mc:AlternateContent>
    <mc:AlternateContent xmlns:mc="http://schemas.openxmlformats.org/markup-compatibility/2006">
      <mc:Choice Requires="x14">
        <control shapeId="3077" r:id="rId67" name="tbMonto">
          <controlPr defaultSize="0" autoLine="0" r:id="rId68">
            <anchor moveWithCells="1">
              <from>
                <xdr:col>3</xdr:col>
                <xdr:colOff>381000</xdr:colOff>
                <xdr:row>9</xdr:row>
                <xdr:rowOff>57150</xdr:rowOff>
              </from>
              <to>
                <xdr:col>6</xdr:col>
                <xdr:colOff>0</xdr:colOff>
                <xdr:row>10</xdr:row>
                <xdr:rowOff>171450</xdr:rowOff>
              </to>
            </anchor>
          </controlPr>
        </control>
      </mc:Choice>
      <mc:Fallback>
        <control shapeId="3077" r:id="rId67" name="tbMonto"/>
      </mc:Fallback>
    </mc:AlternateContent>
    <mc:AlternateContent xmlns:mc="http://schemas.openxmlformats.org/markup-compatibility/2006">
      <mc:Choice Requires="x14">
        <control shapeId="3076" r:id="rId69" name="tbCodP">
          <controlPr defaultSize="0" autoLine="0" autoPict="0" r:id="rId70">
            <anchor moveWithCells="1">
              <from>
                <xdr:col>3</xdr:col>
                <xdr:colOff>381000</xdr:colOff>
                <xdr:row>5</xdr:row>
                <xdr:rowOff>66675</xdr:rowOff>
              </from>
              <to>
                <xdr:col>6</xdr:col>
                <xdr:colOff>0</xdr:colOff>
                <xdr:row>6</xdr:row>
                <xdr:rowOff>152400</xdr:rowOff>
              </to>
            </anchor>
          </controlPr>
        </control>
      </mc:Choice>
      <mc:Fallback>
        <control shapeId="3076" r:id="rId69" name="tbCodP"/>
      </mc:Fallback>
    </mc:AlternateContent>
    <mc:AlternateContent xmlns:mc="http://schemas.openxmlformats.org/markup-compatibility/2006">
      <mc:Choice Requires="x14">
        <control shapeId="3075" r:id="rId71" name="tbFechaO">
          <controlPr defaultSize="0" autoLine="0" autoPict="0" r:id="rId70">
            <anchor moveWithCells="1">
              <from>
                <xdr:col>3</xdr:col>
                <xdr:colOff>381000</xdr:colOff>
                <xdr:row>7</xdr:row>
                <xdr:rowOff>66675</xdr:rowOff>
              </from>
              <to>
                <xdr:col>6</xdr:col>
                <xdr:colOff>0</xdr:colOff>
                <xdr:row>8</xdr:row>
                <xdr:rowOff>152400</xdr:rowOff>
              </to>
            </anchor>
          </controlPr>
        </control>
      </mc:Choice>
      <mc:Fallback>
        <control shapeId="3075" r:id="rId71" name="tbFechaO"/>
      </mc:Fallback>
    </mc:AlternateContent>
    <mc:AlternateContent xmlns:mc="http://schemas.openxmlformats.org/markup-compatibility/2006">
      <mc:Choice Requires="x14">
        <control shapeId="3074" r:id="rId72" name="tbNSol">
          <controlPr defaultSize="0" autoLine="0" autoPict="0" r:id="rId70">
            <anchor moveWithCells="1">
              <from>
                <xdr:col>3</xdr:col>
                <xdr:colOff>381000</xdr:colOff>
                <xdr:row>3</xdr:row>
                <xdr:rowOff>66675</xdr:rowOff>
              </from>
              <to>
                <xdr:col>6</xdr:col>
                <xdr:colOff>0</xdr:colOff>
                <xdr:row>4</xdr:row>
                <xdr:rowOff>152400</xdr:rowOff>
              </to>
            </anchor>
          </controlPr>
        </control>
      </mc:Choice>
      <mc:Fallback>
        <control shapeId="3074" r:id="rId72" name="tbNSol"/>
      </mc:Fallback>
    </mc:AlternateContent>
    <mc:AlternateContent xmlns:mc="http://schemas.openxmlformats.org/markup-compatibility/2006">
      <mc:Choice Requires="x14">
        <control shapeId="3121" r:id="rId73" name="btLimpiar">
          <controlPr defaultSize="0" autoLine="0" r:id="rId74">
            <anchor moveWithCells="1">
              <from>
                <xdr:col>16</xdr:col>
                <xdr:colOff>76200</xdr:colOff>
                <xdr:row>3</xdr:row>
                <xdr:rowOff>47625</xdr:rowOff>
              </from>
              <to>
                <xdr:col>17</xdr:col>
                <xdr:colOff>95250</xdr:colOff>
                <xdr:row>6</xdr:row>
                <xdr:rowOff>142875</xdr:rowOff>
              </to>
            </anchor>
          </controlPr>
        </control>
      </mc:Choice>
      <mc:Fallback>
        <control shapeId="3121" r:id="rId73" name="btLimpiar"/>
      </mc:Fallback>
    </mc:AlternateContent>
    <mc:AlternateContent xmlns:mc="http://schemas.openxmlformats.org/markup-compatibility/2006">
      <mc:Choice Requires="x14">
        <control shapeId="3122" r:id="rId75" name="obFuncionario">
          <controlPr defaultSize="0" autoLine="0" r:id="rId76">
            <anchor moveWithCells="1">
              <from>
                <xdr:col>11</xdr:col>
                <xdr:colOff>619125</xdr:colOff>
                <xdr:row>10</xdr:row>
                <xdr:rowOff>85725</xdr:rowOff>
              </from>
              <to>
                <xdr:col>13</xdr:col>
                <xdr:colOff>28575</xdr:colOff>
                <xdr:row>11</xdr:row>
                <xdr:rowOff>123825</xdr:rowOff>
              </to>
            </anchor>
          </controlPr>
        </control>
      </mc:Choice>
      <mc:Fallback>
        <control shapeId="3122" r:id="rId75" name="obFuncionario"/>
      </mc:Fallback>
    </mc:AlternateContent>
    <mc:AlternateContent xmlns:mc="http://schemas.openxmlformats.org/markup-compatibility/2006">
      <mc:Choice Requires="x14">
        <control shapeId="3123" r:id="rId77" name="obComite">
          <controlPr defaultSize="0" autoLine="0" r:id="rId78">
            <anchor moveWithCells="1">
              <from>
                <xdr:col>11</xdr:col>
                <xdr:colOff>619125</xdr:colOff>
                <xdr:row>11</xdr:row>
                <xdr:rowOff>152400</xdr:rowOff>
              </from>
              <to>
                <xdr:col>13</xdr:col>
                <xdr:colOff>28575</xdr:colOff>
                <xdr:row>13</xdr:row>
                <xdr:rowOff>0</xdr:rowOff>
              </to>
            </anchor>
          </controlPr>
        </control>
      </mc:Choice>
      <mc:Fallback>
        <control shapeId="3123" r:id="rId77" name="obComite"/>
      </mc:Fallback>
    </mc:AlternateContent>
    <mc:AlternateContent xmlns:mc="http://schemas.openxmlformats.org/markup-compatibility/2006">
      <mc:Choice Requires="x14">
        <control shapeId="3124" r:id="rId79" name="obConsejo">
          <controlPr defaultSize="0" autoLine="0" r:id="rId80">
            <anchor moveWithCells="1">
              <from>
                <xdr:col>11</xdr:col>
                <xdr:colOff>619125</xdr:colOff>
                <xdr:row>13</xdr:row>
                <xdr:rowOff>28575</xdr:rowOff>
              </from>
              <to>
                <xdr:col>13</xdr:col>
                <xdr:colOff>28575</xdr:colOff>
                <xdr:row>14</xdr:row>
                <xdr:rowOff>66675</xdr:rowOff>
              </to>
            </anchor>
          </controlPr>
        </control>
      </mc:Choice>
      <mc:Fallback>
        <control shapeId="3124" r:id="rId79" name="obConsejo"/>
      </mc:Fallback>
    </mc:AlternateContent>
    <mc:AlternateContent xmlns:mc="http://schemas.openxmlformats.org/markup-compatibility/2006">
      <mc:Choice Requires="x14">
        <control shapeId="3126" r:id="rId81" name="obE">
          <controlPr defaultSize="0" autoLine="0" r:id="rId82">
            <anchor moveWithCells="1">
              <from>
                <xdr:col>11</xdr:col>
                <xdr:colOff>171450</xdr:colOff>
                <xdr:row>4</xdr:row>
                <xdr:rowOff>142875</xdr:rowOff>
              </from>
              <to>
                <xdr:col>12</xdr:col>
                <xdr:colOff>171450</xdr:colOff>
                <xdr:row>5</xdr:row>
                <xdr:rowOff>171450</xdr:rowOff>
              </to>
            </anchor>
          </controlPr>
        </control>
      </mc:Choice>
      <mc:Fallback>
        <control shapeId="3126" r:id="rId81" name="obE"/>
      </mc:Fallback>
    </mc:AlternateContent>
    <mc:AlternateContent xmlns:mc="http://schemas.openxmlformats.org/markup-compatibility/2006">
      <mc:Choice Requires="x14">
        <control shapeId="3118" r:id="rId83" name="Group Box 46">
          <controlPr defaultSize="0" autoFill="0" autoPict="0">
            <anchor moveWithCells="1">
              <from>
                <xdr:col>12</xdr:col>
                <xdr:colOff>276225</xdr:colOff>
                <xdr:row>1</xdr:row>
                <xdr:rowOff>104775</xdr:rowOff>
              </from>
              <to>
                <xdr:col>15</xdr:col>
                <xdr:colOff>438150</xdr:colOff>
                <xdr:row>7</xdr:row>
                <xdr:rowOff>133350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1:X27"/>
  <sheetViews>
    <sheetView workbookViewId="0"/>
  </sheetViews>
  <sheetFormatPr baseColWidth="10" defaultRowHeight="15" x14ac:dyDescent="0.25"/>
  <cols>
    <col min="1" max="2" width="11.42578125" style="25"/>
    <col min="4" max="4" width="25.85546875" style="3" customWidth="1"/>
    <col min="5" max="8" width="11.42578125" style="25"/>
    <col min="9" max="10" width="11.42578125" style="3"/>
    <col min="11" max="23" width="11.42578125" style="25"/>
  </cols>
  <sheetData>
    <row r="1" spans="1:24" x14ac:dyDescent="0.25">
      <c r="A1" s="25" t="s">
        <v>44</v>
      </c>
      <c r="B1" s="25" t="s">
        <v>45</v>
      </c>
      <c r="C1" s="25" t="s">
        <v>68</v>
      </c>
      <c r="D1" s="3" t="s">
        <v>47</v>
      </c>
      <c r="E1" s="25" t="s">
        <v>35</v>
      </c>
      <c r="F1" s="25" t="s">
        <v>34</v>
      </c>
      <c r="G1" s="25" t="s">
        <v>36</v>
      </c>
      <c r="H1" s="25" t="s">
        <v>37</v>
      </c>
      <c r="I1" s="3" t="s">
        <v>38</v>
      </c>
      <c r="J1" s="3" t="s">
        <v>39</v>
      </c>
      <c r="K1" s="25" t="s">
        <v>40</v>
      </c>
      <c r="L1" s="25" t="s">
        <v>41</v>
      </c>
      <c r="M1" s="25" t="s">
        <v>8</v>
      </c>
      <c r="N1" s="25" t="s">
        <v>73</v>
      </c>
      <c r="O1" s="25" t="s">
        <v>74</v>
      </c>
      <c r="P1" s="25" t="s">
        <v>75</v>
      </c>
      <c r="Q1" s="25" t="s">
        <v>51</v>
      </c>
      <c r="R1" s="25" t="s">
        <v>52</v>
      </c>
      <c r="S1" s="25" t="s">
        <v>55</v>
      </c>
      <c r="T1" s="25" t="s">
        <v>53</v>
      </c>
      <c r="U1" s="25" t="s">
        <v>54</v>
      </c>
      <c r="V1" s="25" t="s">
        <v>42</v>
      </c>
      <c r="W1" s="25" t="s">
        <v>43</v>
      </c>
      <c r="X1" s="25" t="s">
        <v>46</v>
      </c>
    </row>
    <row r="2" spans="1:24" x14ac:dyDescent="0.25">
      <c r="A2" s="26"/>
      <c r="B2" s="26"/>
      <c r="C2" s="36"/>
      <c r="D2" s="37"/>
      <c r="F2" s="26"/>
      <c r="G2" s="26"/>
      <c r="H2" s="26"/>
      <c r="I2" s="37"/>
      <c r="J2" s="37"/>
      <c r="K2" s="26"/>
      <c r="L2" s="26"/>
      <c r="M2" s="26"/>
      <c r="N2" s="26"/>
      <c r="O2" s="26"/>
      <c r="P2" s="26"/>
      <c r="Q2" s="26"/>
      <c r="R2" s="26"/>
      <c r="X2" s="36"/>
    </row>
    <row r="3" spans="1:24" x14ac:dyDescent="0.25">
      <c r="A3" s="26"/>
      <c r="B3" s="26"/>
      <c r="C3" s="36"/>
      <c r="D3" s="37"/>
      <c r="E3" s="26"/>
      <c r="F3" s="26"/>
      <c r="G3" s="26"/>
      <c r="H3" s="26"/>
      <c r="I3" s="37"/>
      <c r="J3" s="37"/>
      <c r="K3" s="26"/>
      <c r="L3" s="26"/>
      <c r="M3" s="26"/>
      <c r="N3" s="26"/>
      <c r="O3" s="26"/>
      <c r="P3" s="26"/>
      <c r="Q3" s="26"/>
      <c r="R3" s="26"/>
      <c r="V3" s="26"/>
      <c r="W3" s="26"/>
      <c r="X3" s="36"/>
    </row>
    <row r="4" spans="1:24" x14ac:dyDescent="0.25">
      <c r="A4" s="26"/>
      <c r="B4" s="26"/>
      <c r="C4" s="36"/>
      <c r="D4" s="37"/>
      <c r="E4" s="26"/>
      <c r="F4" s="26"/>
      <c r="G4" s="26"/>
      <c r="H4" s="26"/>
      <c r="I4" s="37"/>
      <c r="J4" s="37"/>
      <c r="K4" s="26"/>
      <c r="L4" s="26"/>
      <c r="M4" s="26"/>
      <c r="N4" s="26"/>
      <c r="O4" s="26"/>
      <c r="P4" s="26"/>
      <c r="Q4" s="26"/>
      <c r="R4" s="26"/>
      <c r="V4" s="26"/>
      <c r="W4" s="26"/>
      <c r="X4" s="36"/>
    </row>
    <row r="5" spans="1:24" x14ac:dyDescent="0.25">
      <c r="A5" s="26"/>
      <c r="B5" s="26"/>
      <c r="C5" s="36"/>
      <c r="D5" s="37"/>
      <c r="E5" s="26"/>
      <c r="F5" s="26"/>
      <c r="G5" s="26"/>
      <c r="H5" s="26"/>
      <c r="I5" s="37"/>
      <c r="J5" s="37"/>
      <c r="K5" s="26"/>
      <c r="L5" s="26"/>
      <c r="M5" s="26"/>
      <c r="N5" s="26"/>
      <c r="O5" s="26"/>
      <c r="P5" s="26"/>
      <c r="Q5" s="26"/>
      <c r="R5" s="26"/>
      <c r="V5" s="26"/>
      <c r="W5" s="26"/>
      <c r="X5" s="36"/>
    </row>
    <row r="6" spans="1:24" x14ac:dyDescent="0.25">
      <c r="A6" s="26"/>
      <c r="B6" s="26"/>
      <c r="C6" s="36"/>
      <c r="D6" s="37"/>
      <c r="E6" s="26"/>
      <c r="F6" s="26"/>
      <c r="G6" s="26"/>
      <c r="H6" s="26"/>
      <c r="I6" s="37"/>
      <c r="J6" s="37"/>
      <c r="K6" s="26"/>
      <c r="L6" s="26"/>
      <c r="M6" s="26"/>
      <c r="N6" s="26"/>
      <c r="O6" s="26"/>
      <c r="P6" s="26"/>
      <c r="Q6" s="26"/>
      <c r="R6" s="26"/>
      <c r="V6" s="26"/>
      <c r="W6" s="26"/>
      <c r="X6" s="36"/>
    </row>
    <row r="7" spans="1:24" x14ac:dyDescent="0.25">
      <c r="A7" s="26"/>
      <c r="B7" s="26"/>
      <c r="C7" s="36"/>
      <c r="D7" s="37"/>
      <c r="E7" s="26"/>
      <c r="F7" s="26"/>
      <c r="G7" s="26"/>
      <c r="H7" s="26"/>
      <c r="I7" s="37"/>
      <c r="J7" s="37"/>
      <c r="K7" s="26"/>
      <c r="L7" s="26"/>
      <c r="M7" s="26"/>
      <c r="N7" s="26"/>
      <c r="O7" s="26"/>
      <c r="P7" s="26"/>
      <c r="Q7" s="26"/>
      <c r="R7" s="26"/>
      <c r="V7" s="26"/>
      <c r="W7" s="26"/>
      <c r="X7" s="36"/>
    </row>
    <row r="8" spans="1:24" x14ac:dyDescent="0.25">
      <c r="A8" s="26"/>
      <c r="B8" s="26"/>
      <c r="C8" s="36"/>
      <c r="D8" s="37"/>
      <c r="E8" s="26"/>
      <c r="F8" s="26"/>
      <c r="G8" s="26"/>
      <c r="H8" s="26"/>
      <c r="I8" s="37"/>
      <c r="J8" s="37"/>
      <c r="K8" s="26"/>
      <c r="L8" s="26"/>
      <c r="M8" s="26"/>
      <c r="N8" s="26"/>
      <c r="O8" s="26"/>
      <c r="P8" s="26"/>
      <c r="Q8" s="26"/>
      <c r="R8" s="26"/>
      <c r="V8" s="26"/>
      <c r="W8" s="40"/>
      <c r="X8" s="36"/>
    </row>
    <row r="9" spans="1:24" x14ac:dyDescent="0.25">
      <c r="A9"/>
      <c r="B9"/>
      <c r="D9"/>
      <c r="E9"/>
      <c r="F9"/>
      <c r="G9"/>
      <c r="H9"/>
      <c r="I9"/>
      <c r="J9"/>
      <c r="K9"/>
      <c r="L9"/>
      <c r="M9"/>
      <c r="N9"/>
      <c r="O9"/>
      <c r="P9"/>
      <c r="Q9"/>
      <c r="R9"/>
      <c r="V9"/>
      <c r="W9"/>
    </row>
    <row r="10" spans="1:24" x14ac:dyDescent="0.25">
      <c r="A10" s="26"/>
      <c r="B10" s="26"/>
      <c r="C10" s="36"/>
      <c r="D10" s="37"/>
      <c r="E10" s="26"/>
      <c r="F10" s="26"/>
      <c r="G10" s="26"/>
      <c r="H10" s="26"/>
      <c r="I10" s="37"/>
      <c r="J10" s="37"/>
      <c r="K10" s="26"/>
      <c r="L10" s="26"/>
      <c r="M10" s="26"/>
      <c r="N10" s="26"/>
      <c r="O10" s="26"/>
      <c r="P10" s="26"/>
      <c r="Q10" s="26"/>
      <c r="R10" s="26"/>
      <c r="V10" s="26"/>
      <c r="W10" s="26"/>
      <c r="X10" s="36"/>
    </row>
    <row r="11" spans="1:24" x14ac:dyDescent="0.25">
      <c r="A11" s="26"/>
      <c r="B11" s="26"/>
      <c r="C11" s="36"/>
      <c r="D11" s="37"/>
      <c r="E11" s="26"/>
      <c r="F11" s="26"/>
      <c r="G11" s="26"/>
      <c r="H11" s="26"/>
      <c r="I11" s="37"/>
      <c r="J11" s="37"/>
      <c r="K11" s="26"/>
      <c r="L11" s="26"/>
      <c r="M11" s="26"/>
      <c r="N11" s="26"/>
      <c r="O11" s="26"/>
      <c r="P11" s="26"/>
      <c r="Q11" s="26"/>
      <c r="R11" s="26"/>
      <c r="V11" s="26"/>
      <c r="W11" s="26"/>
      <c r="X11" s="36"/>
    </row>
    <row r="12" spans="1:24" x14ac:dyDescent="0.25">
      <c r="A12" s="26"/>
      <c r="B12" s="26"/>
      <c r="C12" s="36"/>
      <c r="D12" s="37"/>
      <c r="E12" s="26"/>
      <c r="F12" s="26"/>
      <c r="G12" s="26"/>
      <c r="H12" s="26"/>
      <c r="I12" s="37"/>
      <c r="J12" s="37"/>
      <c r="K12" s="26"/>
      <c r="L12" s="26"/>
      <c r="M12" s="26"/>
      <c r="N12" s="26"/>
      <c r="O12" s="26"/>
      <c r="P12" s="26"/>
      <c r="Q12" s="26"/>
      <c r="R12" s="26"/>
      <c r="V12" s="26"/>
      <c r="W12" s="26"/>
      <c r="X12" s="36"/>
    </row>
    <row r="13" spans="1:24" x14ac:dyDescent="0.25">
      <c r="A13" s="26"/>
      <c r="B13" s="26"/>
      <c r="C13" s="36"/>
      <c r="D13" s="37"/>
      <c r="E13" s="26"/>
      <c r="F13" s="26"/>
      <c r="G13" s="26"/>
      <c r="H13" s="26"/>
      <c r="I13" s="37"/>
      <c r="J13" s="37"/>
      <c r="K13" s="26"/>
      <c r="L13" s="26"/>
      <c r="M13" s="26"/>
      <c r="N13" s="26"/>
      <c r="O13" s="26"/>
      <c r="P13" s="26"/>
      <c r="Q13" s="26"/>
      <c r="R13" s="26"/>
      <c r="V13" s="26"/>
      <c r="W13" s="26"/>
      <c r="X13" s="36"/>
    </row>
    <row r="14" spans="1:24" x14ac:dyDescent="0.25">
      <c r="A14" s="26"/>
      <c r="B14" s="26"/>
      <c r="C14" s="36"/>
      <c r="D14" s="37"/>
      <c r="E14" s="26"/>
      <c r="F14" s="26"/>
      <c r="G14" s="26"/>
      <c r="H14" s="26"/>
      <c r="I14" s="37"/>
      <c r="J14" s="37"/>
      <c r="K14" s="26"/>
      <c r="L14" s="26"/>
      <c r="M14" s="26"/>
      <c r="N14" s="26"/>
      <c r="O14" s="26"/>
      <c r="P14" s="26"/>
      <c r="Q14" s="26"/>
      <c r="R14" s="26"/>
      <c r="V14" s="26"/>
      <c r="W14" s="26"/>
      <c r="X14" s="36"/>
    </row>
    <row r="15" spans="1:24" x14ac:dyDescent="0.25">
      <c r="A15" s="26"/>
      <c r="B15" s="26"/>
      <c r="C15" s="36"/>
      <c r="D15" s="37"/>
      <c r="E15" s="26"/>
      <c r="F15" s="26"/>
      <c r="G15" s="26"/>
      <c r="H15" s="26"/>
      <c r="I15" s="37"/>
      <c r="J15" s="37"/>
      <c r="K15" s="26"/>
      <c r="L15" s="26"/>
      <c r="M15" s="26"/>
      <c r="N15" s="26"/>
      <c r="O15" s="26"/>
      <c r="P15" s="26"/>
      <c r="Q15" s="26"/>
      <c r="R15" s="26"/>
      <c r="V15" s="26"/>
      <c r="W15" s="26"/>
      <c r="X15" s="36"/>
    </row>
    <row r="16" spans="1:24" x14ac:dyDescent="0.25">
      <c r="A16" s="26"/>
      <c r="B16" s="26"/>
      <c r="C16" s="36"/>
      <c r="D16" s="37"/>
      <c r="E16" s="26"/>
      <c r="F16" s="26"/>
      <c r="G16" s="26"/>
      <c r="H16" s="26"/>
      <c r="I16" s="37"/>
      <c r="J16" s="37"/>
      <c r="K16" s="26"/>
      <c r="L16" s="26"/>
      <c r="M16" s="26"/>
      <c r="N16" s="26"/>
      <c r="O16" s="26"/>
      <c r="P16" s="26"/>
      <c r="Q16" s="26"/>
      <c r="R16" s="26"/>
      <c r="V16" s="26"/>
      <c r="W16" s="26"/>
      <c r="X16" s="36"/>
    </row>
    <row r="17" spans="1:24" x14ac:dyDescent="0.25">
      <c r="A17" s="26"/>
      <c r="B17" s="26"/>
      <c r="C17" s="36"/>
      <c r="D17" s="37"/>
      <c r="F17" s="26"/>
      <c r="G17" s="26"/>
      <c r="H17" s="26"/>
      <c r="I17" s="37"/>
      <c r="J17" s="37"/>
      <c r="K17" s="26"/>
      <c r="L17" s="26"/>
      <c r="M17" s="26"/>
      <c r="N17" s="26"/>
      <c r="O17" s="26"/>
      <c r="P17" s="26"/>
      <c r="Q17" s="26"/>
      <c r="X17" s="36"/>
    </row>
    <row r="18" spans="1:24" x14ac:dyDescent="0.25">
      <c r="A18" s="26"/>
      <c r="B18" s="26"/>
      <c r="C18" s="36"/>
      <c r="D18" s="37"/>
      <c r="F18" s="26"/>
      <c r="G18" s="26"/>
      <c r="H18" s="26"/>
      <c r="I18" s="37"/>
      <c r="J18" s="37"/>
      <c r="K18" s="26"/>
      <c r="L18" s="26"/>
      <c r="M18" s="26"/>
      <c r="N18" s="26"/>
      <c r="O18" s="26"/>
      <c r="P18" s="26"/>
      <c r="Q18" s="26"/>
      <c r="X18" s="36"/>
    </row>
    <row r="19" spans="1:24" x14ac:dyDescent="0.25">
      <c r="A19" s="26"/>
      <c r="B19" s="26"/>
      <c r="C19" s="36"/>
      <c r="D19" s="37"/>
      <c r="F19" s="26"/>
      <c r="G19" s="26"/>
      <c r="H19" s="26"/>
      <c r="I19" s="37"/>
      <c r="J19" s="37"/>
      <c r="K19" s="26"/>
      <c r="L19" s="26"/>
      <c r="M19" s="26"/>
      <c r="N19" s="26"/>
      <c r="O19" s="26"/>
      <c r="P19" s="26"/>
      <c r="X19" s="36"/>
    </row>
    <row r="20" spans="1:24" x14ac:dyDescent="0.25">
      <c r="A20" s="26"/>
      <c r="B20" s="26"/>
      <c r="C20" s="36"/>
      <c r="D20" s="37"/>
      <c r="F20" s="26"/>
      <c r="G20" s="26"/>
      <c r="H20" s="26"/>
      <c r="I20" s="37"/>
      <c r="J20" s="37"/>
      <c r="K20" s="26"/>
      <c r="L20" s="26"/>
      <c r="M20" s="26"/>
      <c r="N20" s="26"/>
      <c r="O20" s="26"/>
      <c r="P20" s="26"/>
      <c r="Q20" s="26"/>
      <c r="R20" s="26"/>
      <c r="X20" s="36"/>
    </row>
    <row r="21" spans="1:24" x14ac:dyDescent="0.25">
      <c r="A21" s="26"/>
      <c r="B21" s="26"/>
      <c r="C21" s="36"/>
      <c r="D21" s="37"/>
      <c r="F21" s="26"/>
      <c r="G21" s="26"/>
      <c r="H21" s="26"/>
      <c r="I21" s="37"/>
      <c r="J21" s="37"/>
      <c r="K21" s="26"/>
      <c r="L21" s="26"/>
      <c r="M21" s="26"/>
      <c r="N21" s="26"/>
      <c r="O21" s="26"/>
      <c r="P21" s="26"/>
      <c r="Q21" s="26"/>
      <c r="R21" s="26"/>
      <c r="X21" s="36"/>
    </row>
    <row r="22" spans="1:24" x14ac:dyDescent="0.25">
      <c r="A22" s="26"/>
      <c r="B22" s="26"/>
      <c r="C22" s="36"/>
      <c r="D22" s="37"/>
      <c r="F22" s="26"/>
      <c r="G22" s="26"/>
      <c r="H22" s="26"/>
      <c r="I22" s="37"/>
      <c r="J22" s="37"/>
      <c r="K22" s="26"/>
      <c r="L22" s="26"/>
      <c r="M22" s="26"/>
      <c r="N22" s="26"/>
      <c r="O22" s="26"/>
      <c r="P22" s="26"/>
      <c r="Q22" s="26"/>
      <c r="R22" s="26"/>
      <c r="X22" s="36"/>
    </row>
    <row r="23" spans="1:24" x14ac:dyDescent="0.25">
      <c r="A23" s="26"/>
      <c r="B23" s="26"/>
      <c r="C23" s="36"/>
      <c r="D23" s="37"/>
      <c r="E23" s="26"/>
      <c r="F23" s="26"/>
      <c r="G23" s="26"/>
      <c r="H23" s="26"/>
      <c r="I23" s="37"/>
      <c r="J23" s="37"/>
      <c r="K23" s="26"/>
      <c r="L23" s="26"/>
      <c r="M23" s="26"/>
      <c r="N23" s="26"/>
      <c r="O23" s="26"/>
      <c r="P23" s="26"/>
      <c r="Q23" s="26"/>
      <c r="R23" s="26"/>
      <c r="V23" s="26"/>
      <c r="W23" s="26"/>
      <c r="X23" s="36"/>
    </row>
    <row r="24" spans="1:24" x14ac:dyDescent="0.25">
      <c r="A24" s="26"/>
      <c r="B24" s="26"/>
      <c r="C24" s="36"/>
      <c r="D24" s="37"/>
      <c r="E24" s="26"/>
      <c r="F24" s="26"/>
      <c r="G24" s="26"/>
      <c r="H24" s="26"/>
      <c r="I24" s="37"/>
      <c r="J24" s="37"/>
      <c r="K24" s="26"/>
      <c r="L24" s="26"/>
      <c r="M24" s="26"/>
      <c r="N24" s="26"/>
      <c r="O24" s="26"/>
      <c r="P24" s="26"/>
      <c r="Q24" s="26"/>
      <c r="R24" s="26"/>
      <c r="V24" s="26"/>
      <c r="W24" s="26"/>
      <c r="X24" s="36"/>
    </row>
    <row r="25" spans="1:24" x14ac:dyDescent="0.25">
      <c r="A25" s="26"/>
      <c r="B25" s="26"/>
      <c r="C25" s="36"/>
      <c r="D25" s="37"/>
      <c r="E25" s="26"/>
      <c r="F25" s="26"/>
      <c r="G25" s="26"/>
      <c r="H25" s="26"/>
      <c r="I25" s="37"/>
      <c r="J25" s="37"/>
      <c r="K25" s="26"/>
      <c r="L25" s="26"/>
      <c r="M25" s="26"/>
      <c r="N25" s="26"/>
      <c r="O25" s="26"/>
      <c r="P25" s="26"/>
      <c r="Q25" s="26"/>
      <c r="R25" s="26"/>
      <c r="V25" s="26"/>
      <c r="W25" s="26"/>
      <c r="X25" s="36"/>
    </row>
    <row r="26" spans="1:24" x14ac:dyDescent="0.25">
      <c r="A26" s="26"/>
      <c r="B26" s="26"/>
      <c r="C26" s="36"/>
      <c r="D26" s="37"/>
      <c r="E26" s="26"/>
      <c r="F26" s="26"/>
      <c r="G26" s="26"/>
      <c r="H26" s="26"/>
      <c r="I26" s="37"/>
      <c r="J26" s="37"/>
      <c r="K26" s="26"/>
      <c r="L26" s="26"/>
      <c r="M26" s="26"/>
      <c r="N26" s="26"/>
      <c r="O26" s="26"/>
      <c r="P26" s="26"/>
      <c r="Q26" s="26"/>
      <c r="R26" s="26"/>
      <c r="V26" s="26"/>
      <c r="W26" s="26"/>
      <c r="X26" s="36"/>
    </row>
    <row r="27" spans="1:24" x14ac:dyDescent="0.25">
      <c r="A27" s="26"/>
      <c r="B27" s="26"/>
      <c r="C27" s="36"/>
      <c r="D27" s="37"/>
      <c r="E27" s="26"/>
      <c r="F27" s="26"/>
      <c r="G27" s="26"/>
      <c r="H27" s="26"/>
      <c r="I27" s="37"/>
      <c r="J27" s="37"/>
      <c r="K27" s="26"/>
      <c r="L27" s="26"/>
      <c r="M27" s="26"/>
      <c r="N27" s="26"/>
      <c r="O27" s="26"/>
      <c r="P27" s="26"/>
      <c r="Q27" s="26"/>
      <c r="R27" s="26"/>
      <c r="V27" s="26"/>
      <c r="W27" s="26"/>
      <c r="X27" s="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X15"/>
  <sheetViews>
    <sheetView topLeftCell="C1" workbookViewId="0">
      <selection activeCell="I3" sqref="I3"/>
    </sheetView>
  </sheetViews>
  <sheetFormatPr baseColWidth="10" defaultRowHeight="15" x14ac:dyDescent="0.25"/>
  <cols>
    <col min="4" max="4" width="25.5703125" style="3" customWidth="1"/>
    <col min="17" max="21" width="11.42578125" style="25"/>
  </cols>
  <sheetData>
    <row r="1" spans="1:24" x14ac:dyDescent="0.25">
      <c r="A1" s="25" t="s">
        <v>44</v>
      </c>
      <c r="B1" s="25" t="s">
        <v>45</v>
      </c>
      <c r="C1" s="25" t="s">
        <v>68</v>
      </c>
      <c r="D1" s="3" t="s">
        <v>48</v>
      </c>
      <c r="E1" s="25" t="s">
        <v>35</v>
      </c>
      <c r="F1" s="25" t="s">
        <v>34</v>
      </c>
      <c r="G1" s="25" t="s">
        <v>36</v>
      </c>
      <c r="H1" s="25" t="s">
        <v>37</v>
      </c>
      <c r="I1" s="3" t="s">
        <v>49</v>
      </c>
      <c r="J1" s="3" t="s">
        <v>50</v>
      </c>
      <c r="K1" s="25" t="s">
        <v>40</v>
      </c>
      <c r="L1" s="25" t="s">
        <v>41</v>
      </c>
      <c r="M1" s="25" t="s">
        <v>8</v>
      </c>
      <c r="N1" s="25" t="s">
        <v>73</v>
      </c>
      <c r="O1" s="25" t="s">
        <v>74</v>
      </c>
      <c r="P1" s="25" t="s">
        <v>75</v>
      </c>
      <c r="Q1" s="25" t="s">
        <v>51</v>
      </c>
      <c r="R1" s="25" t="s">
        <v>52</v>
      </c>
      <c r="S1" s="25" t="s">
        <v>55</v>
      </c>
      <c r="T1" s="25" t="s">
        <v>53</v>
      </c>
      <c r="U1" s="25" t="s">
        <v>54</v>
      </c>
      <c r="V1" s="25" t="s">
        <v>42</v>
      </c>
      <c r="W1" s="25" t="s">
        <v>43</v>
      </c>
      <c r="X1" s="25" t="s">
        <v>46</v>
      </c>
    </row>
    <row r="2" spans="1:24" x14ac:dyDescent="0.25">
      <c r="Q2" s="26"/>
      <c r="R2" s="26"/>
      <c r="S2" s="26"/>
      <c r="T2" s="26"/>
      <c r="U2" s="26"/>
    </row>
    <row r="3" spans="1:24" x14ac:dyDescent="0.25">
      <c r="W3" s="43"/>
    </row>
    <row r="8" spans="1:24" x14ac:dyDescent="0.25">
      <c r="W8" s="43"/>
    </row>
    <row r="11" spans="1:24" x14ac:dyDescent="0.25">
      <c r="W11" s="43"/>
    </row>
    <row r="12" spans="1:24" x14ac:dyDescent="0.25">
      <c r="W12" s="43"/>
    </row>
    <row r="15" spans="1:24" x14ac:dyDescent="0.25">
      <c r="W15" s="4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O51"/>
  <sheetViews>
    <sheetView showGridLines="0" workbookViewId="0">
      <selection activeCell="M8" sqref="M8"/>
    </sheetView>
  </sheetViews>
  <sheetFormatPr baseColWidth="10" defaultRowHeight="15" x14ac:dyDescent="0.25"/>
  <cols>
    <col min="2" max="2" width="4.5703125" customWidth="1"/>
    <col min="3" max="3" width="14.5703125" customWidth="1"/>
    <col min="4" max="4" width="3.5703125" customWidth="1"/>
    <col min="5" max="5" width="23.140625" customWidth="1"/>
    <col min="6" max="6" width="2.140625" customWidth="1"/>
    <col min="7" max="7" width="13.85546875" customWidth="1"/>
    <col min="8" max="8" width="3.5703125" customWidth="1"/>
    <col min="9" max="9" width="24.85546875" customWidth="1"/>
    <col min="10" max="10" width="0.140625" customWidth="1"/>
    <col min="14" max="14" width="19.42578125" customWidth="1"/>
  </cols>
  <sheetData>
    <row r="1" spans="1:15" x14ac:dyDescent="0.25">
      <c r="A1" s="55">
        <v>43670</v>
      </c>
      <c r="M1" s="3"/>
      <c r="N1" s="3"/>
      <c r="O1" s="3"/>
    </row>
    <row r="3" spans="1:15" ht="22.5" customHeight="1" x14ac:dyDescent="0.25">
      <c r="I3" s="5" t="s">
        <v>80</v>
      </c>
    </row>
    <row r="4" spans="1:15" x14ac:dyDescent="0.25">
      <c r="B4" s="61" t="s">
        <v>0</v>
      </c>
      <c r="C4" s="61"/>
      <c r="D4" s="61"/>
      <c r="E4" s="61"/>
      <c r="F4" s="61"/>
      <c r="G4" s="61"/>
      <c r="H4" s="61"/>
      <c r="I4" s="61"/>
      <c r="J4" s="61"/>
    </row>
    <row r="5" spans="1:15" ht="11.1" customHeight="1" x14ac:dyDescent="0.25"/>
    <row r="6" spans="1:15" ht="116.1" customHeight="1" x14ac:dyDescent="0.25">
      <c r="B6" s="60" t="s">
        <v>88</v>
      </c>
      <c r="C6" s="60"/>
      <c r="D6" s="60"/>
      <c r="E6" s="60"/>
      <c r="F6" s="60"/>
      <c r="G6" s="60"/>
      <c r="H6" s="60"/>
      <c r="I6" s="60"/>
      <c r="J6" s="60"/>
    </row>
    <row r="7" spans="1:15" ht="8.1" customHeight="1" x14ac:dyDescent="0.25"/>
    <row r="8" spans="1:15" x14ac:dyDescent="0.25">
      <c r="B8" s="11" t="s">
        <v>11</v>
      </c>
      <c r="C8" s="12"/>
      <c r="D8" s="12"/>
      <c r="E8" s="12"/>
      <c r="F8" s="12"/>
      <c r="G8" s="12"/>
      <c r="H8" s="12"/>
      <c r="I8" s="12"/>
      <c r="J8" s="12"/>
      <c r="M8" s="3"/>
      <c r="O8" s="3"/>
    </row>
    <row r="9" spans="1:15" ht="6" customHeight="1" x14ac:dyDescent="0.25">
      <c r="B9" s="12"/>
      <c r="C9" s="12"/>
      <c r="D9" s="12"/>
      <c r="E9" s="12"/>
      <c r="F9" s="12"/>
      <c r="G9" s="12"/>
      <c r="H9" s="12"/>
      <c r="I9" s="12"/>
      <c r="J9" s="12"/>
    </row>
    <row r="10" spans="1:15" ht="18.600000000000001" customHeight="1" x14ac:dyDescent="0.3">
      <c r="B10" s="13">
        <v>1.1000000000000001</v>
      </c>
      <c r="C10" s="62" t="s">
        <v>89</v>
      </c>
      <c r="D10" s="62"/>
      <c r="E10" s="62"/>
      <c r="F10" s="62"/>
      <c r="G10" s="62"/>
      <c r="H10" s="62"/>
      <c r="I10" s="62"/>
      <c r="J10" s="62"/>
    </row>
    <row r="11" spans="1:15" ht="17.45" customHeight="1" x14ac:dyDescent="0.25">
      <c r="B11" s="14"/>
      <c r="C11" s="62"/>
      <c r="D11" s="62"/>
      <c r="E11" s="62"/>
      <c r="F11" s="62"/>
      <c r="G11" s="62"/>
      <c r="H11" s="62"/>
      <c r="I11" s="62"/>
      <c r="J11" s="62"/>
    </row>
    <row r="12" spans="1:15" ht="12.6" customHeight="1" x14ac:dyDescent="0.25">
      <c r="B12" s="12"/>
      <c r="C12" s="62"/>
      <c r="D12" s="62"/>
      <c r="E12" s="62"/>
      <c r="F12" s="62"/>
      <c r="G12" s="62"/>
      <c r="H12" s="62"/>
      <c r="I12" s="62"/>
      <c r="J12" s="62"/>
      <c r="O12" s="4"/>
    </row>
    <row r="13" spans="1:15" ht="12" customHeight="1" x14ac:dyDescent="0.25">
      <c r="B13" s="12"/>
      <c r="C13" s="62"/>
      <c r="D13" s="62"/>
      <c r="E13" s="62"/>
      <c r="F13" s="62"/>
      <c r="G13" s="62"/>
      <c r="H13" s="62"/>
      <c r="I13" s="62"/>
      <c r="J13" s="62"/>
      <c r="L13" s="3"/>
    </row>
    <row r="14" spans="1:15" ht="15.75" x14ac:dyDescent="0.3">
      <c r="B14" s="13">
        <v>1.2</v>
      </c>
      <c r="C14" s="62" t="s">
        <v>90</v>
      </c>
      <c r="D14" s="62"/>
      <c r="E14" s="62"/>
      <c r="F14" s="62"/>
      <c r="G14" s="62"/>
      <c r="H14" s="62"/>
      <c r="I14" s="62"/>
      <c r="J14" s="62"/>
      <c r="L14" s="3"/>
      <c r="N14" s="4"/>
    </row>
    <row r="15" spans="1:15" ht="11.45" customHeight="1" x14ac:dyDescent="0.25">
      <c r="B15" s="12"/>
      <c r="C15" s="62"/>
      <c r="D15" s="62"/>
      <c r="E15" s="62"/>
      <c r="F15" s="62"/>
      <c r="G15" s="62"/>
      <c r="H15" s="62"/>
      <c r="I15" s="62"/>
      <c r="J15" s="62"/>
      <c r="L15" s="3"/>
    </row>
    <row r="16" spans="1:15" ht="8.1" customHeight="1" x14ac:dyDescent="0.25">
      <c r="B16" s="12"/>
      <c r="C16" s="12"/>
      <c r="D16" s="12"/>
      <c r="E16" s="12"/>
      <c r="F16" s="12"/>
      <c r="G16" s="12"/>
      <c r="H16" s="12"/>
      <c r="I16" s="12"/>
      <c r="J16" s="12"/>
    </row>
    <row r="17" spans="1:12" x14ac:dyDescent="0.25">
      <c r="A17" s="3"/>
      <c r="B17" s="11" t="s">
        <v>12</v>
      </c>
      <c r="C17" s="12"/>
      <c r="D17" s="12"/>
      <c r="E17" s="12"/>
      <c r="F17" s="12"/>
      <c r="G17" s="12"/>
      <c r="H17" s="12"/>
      <c r="I17" s="12"/>
      <c r="J17" s="12"/>
      <c r="K17" s="6"/>
    </row>
    <row r="18" spans="1:12" ht="6" customHeight="1" x14ac:dyDescent="0.25">
      <c r="A18" s="3"/>
      <c r="B18" s="12"/>
      <c r="C18" s="12"/>
      <c r="D18" s="12"/>
      <c r="E18" s="12"/>
      <c r="F18" s="12"/>
      <c r="G18" s="12"/>
      <c r="H18" s="12"/>
      <c r="I18" s="12"/>
      <c r="J18" s="12"/>
      <c r="K18" s="6"/>
    </row>
    <row r="19" spans="1:12" x14ac:dyDescent="0.25">
      <c r="A19" s="3"/>
      <c r="B19" s="63" t="s">
        <v>91</v>
      </c>
      <c r="C19" s="63"/>
      <c r="D19" s="63"/>
      <c r="E19" s="63"/>
      <c r="F19" s="63"/>
      <c r="G19" s="63"/>
      <c r="H19" s="63"/>
      <c r="I19" s="63"/>
      <c r="J19" s="63"/>
      <c r="L19" s="6"/>
    </row>
    <row r="20" spans="1:12" x14ac:dyDescent="0.25">
      <c r="B20" s="63"/>
      <c r="C20" s="63"/>
      <c r="D20" s="63"/>
      <c r="E20" s="63"/>
      <c r="F20" s="63"/>
      <c r="G20" s="63"/>
      <c r="H20" s="63"/>
      <c r="I20" s="63"/>
      <c r="J20" s="63"/>
      <c r="K20" s="6"/>
    </row>
    <row r="21" spans="1:12" x14ac:dyDescent="0.25">
      <c r="B21" s="63"/>
      <c r="C21" s="63"/>
      <c r="D21" s="63"/>
      <c r="E21" s="63"/>
      <c r="F21" s="63"/>
      <c r="G21" s="63"/>
      <c r="H21" s="63"/>
      <c r="I21" s="63"/>
      <c r="J21" s="63"/>
      <c r="L21" s="6"/>
    </row>
    <row r="22" spans="1:12" ht="8.1" customHeight="1" x14ac:dyDescent="0.25">
      <c r="B22" s="12"/>
      <c r="C22" s="12"/>
      <c r="D22" s="12"/>
      <c r="E22" s="12"/>
      <c r="F22" s="12"/>
      <c r="G22" s="12"/>
      <c r="H22" s="12"/>
      <c r="I22" s="12"/>
      <c r="J22" s="12"/>
    </row>
    <row r="23" spans="1:12" x14ac:dyDescent="0.25">
      <c r="B23" s="11" t="s">
        <v>13</v>
      </c>
      <c r="C23" s="12"/>
      <c r="D23" s="12"/>
      <c r="E23" s="12"/>
      <c r="F23" s="12"/>
      <c r="G23" s="12"/>
      <c r="H23" s="12"/>
      <c r="I23" s="12"/>
      <c r="J23" s="12"/>
    </row>
    <row r="24" spans="1:12" ht="6" customHeight="1" x14ac:dyDescent="0.25">
      <c r="B24" s="12"/>
      <c r="C24" s="12"/>
      <c r="D24" s="12"/>
      <c r="E24" s="12"/>
      <c r="F24" s="12"/>
      <c r="G24" s="12"/>
      <c r="H24" s="12"/>
      <c r="I24" s="12"/>
      <c r="J24" s="12"/>
    </row>
    <row r="25" spans="1:12" x14ac:dyDescent="0.25">
      <c r="B25" s="63" t="s">
        <v>14</v>
      </c>
      <c r="C25" s="63"/>
      <c r="D25" s="63"/>
      <c r="E25" s="63"/>
      <c r="F25" s="63"/>
      <c r="G25" s="63"/>
      <c r="H25" s="63"/>
      <c r="I25" s="63"/>
      <c r="J25" s="63"/>
    </row>
    <row r="26" spans="1:12" x14ac:dyDescent="0.25">
      <c r="B26" s="63"/>
      <c r="C26" s="63"/>
      <c r="D26" s="63"/>
      <c r="E26" s="63"/>
      <c r="F26" s="63"/>
      <c r="G26" s="63"/>
      <c r="H26" s="63"/>
      <c r="I26" s="63"/>
      <c r="J26" s="63"/>
    </row>
    <row r="27" spans="1:12" ht="8.1" customHeight="1" x14ac:dyDescent="0.25">
      <c r="B27" s="12"/>
      <c r="C27" s="12"/>
      <c r="D27" s="12"/>
      <c r="E27" s="12"/>
      <c r="F27" s="12"/>
      <c r="G27" s="12"/>
      <c r="H27" s="12"/>
      <c r="I27" s="12"/>
      <c r="J27" s="12"/>
    </row>
    <row r="28" spans="1:12" x14ac:dyDescent="0.25">
      <c r="B28" s="11" t="s">
        <v>10</v>
      </c>
      <c r="C28" s="12"/>
      <c r="D28" s="12"/>
      <c r="E28" s="12"/>
      <c r="F28" s="12"/>
      <c r="G28" s="12"/>
      <c r="H28" s="12"/>
      <c r="I28" s="12"/>
      <c r="J28" s="12"/>
    </row>
    <row r="29" spans="1:12" ht="6" customHeight="1" x14ac:dyDescent="0.25">
      <c r="B29" s="12"/>
      <c r="C29" s="12"/>
      <c r="D29" s="12"/>
      <c r="E29" s="12"/>
      <c r="F29" s="12"/>
      <c r="G29" s="12"/>
      <c r="H29" s="12"/>
      <c r="I29" s="12"/>
      <c r="J29" s="12"/>
    </row>
    <row r="30" spans="1:12" ht="12.95" customHeight="1" x14ac:dyDescent="0.25">
      <c r="B30" s="59" t="s">
        <v>85</v>
      </c>
      <c r="C30" s="59"/>
      <c r="D30" s="59"/>
      <c r="E30" s="59"/>
      <c r="F30" s="59"/>
      <c r="G30" s="59"/>
      <c r="H30" s="59"/>
      <c r="I30" s="59"/>
      <c r="J30" s="59"/>
    </row>
    <row r="31" spans="1:12" ht="12.95" customHeight="1" x14ac:dyDescent="0.25">
      <c r="B31" s="59"/>
      <c r="C31" s="59"/>
      <c r="D31" s="59"/>
      <c r="E31" s="59"/>
      <c r="F31" s="59"/>
      <c r="G31" s="59"/>
      <c r="H31" s="59"/>
      <c r="I31" s="59"/>
      <c r="J31" s="59"/>
    </row>
    <row r="32" spans="1:12" ht="12.95" customHeight="1" x14ac:dyDescent="0.25">
      <c r="B32" s="59"/>
      <c r="C32" s="59"/>
      <c r="D32" s="59"/>
      <c r="E32" s="59"/>
      <c r="F32" s="59"/>
      <c r="G32" s="59"/>
      <c r="H32" s="59"/>
      <c r="I32" s="59"/>
      <c r="J32" s="59"/>
    </row>
    <row r="33" spans="2:13" ht="12.95" customHeight="1" x14ac:dyDescent="0.25">
      <c r="B33" s="59"/>
      <c r="C33" s="59"/>
      <c r="D33" s="59"/>
      <c r="E33" s="59"/>
      <c r="F33" s="59"/>
      <c r="G33" s="59"/>
      <c r="H33" s="59"/>
      <c r="I33" s="59"/>
      <c r="J33" s="59"/>
    </row>
    <row r="34" spans="2:13" ht="12.95" customHeight="1" x14ac:dyDescent="0.25">
      <c r="B34" s="59"/>
      <c r="C34" s="59"/>
      <c r="D34" s="59"/>
      <c r="E34" s="59"/>
      <c r="F34" s="59"/>
      <c r="G34" s="59"/>
      <c r="H34" s="59"/>
      <c r="I34" s="59"/>
      <c r="J34" s="59"/>
    </row>
    <row r="35" spans="2:13" ht="4.5" customHeight="1" x14ac:dyDescent="0.25">
      <c r="B35" s="12"/>
      <c r="C35" s="12"/>
      <c r="D35" s="12"/>
      <c r="E35" s="12"/>
      <c r="F35" s="12"/>
      <c r="G35" s="12"/>
      <c r="H35" s="12"/>
      <c r="I35" s="12"/>
      <c r="J35" s="12"/>
    </row>
    <row r="36" spans="2:13" ht="11.1" customHeight="1" x14ac:dyDescent="0.25">
      <c r="B36" s="15" t="s">
        <v>94</v>
      </c>
      <c r="C36" s="12"/>
      <c r="D36" s="12"/>
      <c r="E36" s="12"/>
      <c r="F36" s="12"/>
      <c r="G36" s="12"/>
      <c r="H36" s="12"/>
      <c r="I36" s="12"/>
      <c r="J36" s="12"/>
    </row>
    <row r="37" spans="2:13" ht="19.5" customHeight="1" x14ac:dyDescent="0.25">
      <c r="B37" s="2"/>
    </row>
    <row r="38" spans="2:13" ht="20.25" customHeight="1" x14ac:dyDescent="0.25">
      <c r="B38" s="2"/>
    </row>
    <row r="39" spans="2:13" ht="21" customHeight="1" x14ac:dyDescent="0.25"/>
    <row r="40" spans="2:13" x14ac:dyDescent="0.25">
      <c r="C40" s="1"/>
      <c r="D40" s="1"/>
      <c r="E40" s="1"/>
      <c r="G40" s="1"/>
      <c r="H40" s="1"/>
      <c r="I40" s="1"/>
      <c r="J40" s="3"/>
      <c r="L40" s="3"/>
    </row>
    <row r="41" spans="2:13" ht="16.5" x14ac:dyDescent="0.3">
      <c r="C41" s="64" t="s">
        <v>1</v>
      </c>
      <c r="D41" s="64"/>
      <c r="E41" s="64"/>
      <c r="F41" s="7"/>
      <c r="G41" s="65" t="s">
        <v>9</v>
      </c>
      <c r="H41" s="65"/>
      <c r="I41" s="65"/>
      <c r="J41" s="3"/>
      <c r="L41" s="3"/>
    </row>
    <row r="42" spans="2:13" ht="40.5" x14ac:dyDescent="0.3">
      <c r="C42" s="8" t="s">
        <v>2</v>
      </c>
      <c r="D42" s="9" t="s">
        <v>5</v>
      </c>
      <c r="E42" s="38" t="s">
        <v>81</v>
      </c>
      <c r="F42" s="7"/>
      <c r="G42" s="45" t="s">
        <v>2</v>
      </c>
      <c r="H42" s="46" t="s">
        <v>5</v>
      </c>
      <c r="I42" s="47"/>
      <c r="J42" s="3"/>
      <c r="M42" s="3"/>
    </row>
    <row r="43" spans="2:13" ht="16.5" x14ac:dyDescent="0.3">
      <c r="C43" s="10" t="s">
        <v>3</v>
      </c>
      <c r="D43" s="9" t="s">
        <v>5</v>
      </c>
      <c r="E43" s="39" t="s">
        <v>82</v>
      </c>
      <c r="F43" s="7"/>
      <c r="G43" s="48" t="s">
        <v>3</v>
      </c>
      <c r="H43" s="46" t="s">
        <v>5</v>
      </c>
      <c r="I43" s="49"/>
      <c r="M43" s="3"/>
    </row>
    <row r="44" spans="2:13" ht="16.5" x14ac:dyDescent="0.3">
      <c r="C44" s="10" t="s">
        <v>87</v>
      </c>
      <c r="D44" s="9" t="s">
        <v>5</v>
      </c>
      <c r="E44" s="39" t="s">
        <v>79</v>
      </c>
      <c r="F44" s="7"/>
      <c r="G44" s="10" t="s">
        <v>87</v>
      </c>
      <c r="H44" s="9" t="s">
        <v>5</v>
      </c>
      <c r="I44" s="49" t="s">
        <v>92</v>
      </c>
      <c r="M44" s="3"/>
    </row>
    <row r="45" spans="2:13" ht="46.5" customHeight="1" x14ac:dyDescent="0.3">
      <c r="C45" s="41" t="s">
        <v>4</v>
      </c>
      <c r="D45" s="42" t="s">
        <v>5</v>
      </c>
      <c r="E45" s="56" t="s">
        <v>83</v>
      </c>
      <c r="F45" s="7"/>
      <c r="G45" s="52" t="s">
        <v>4</v>
      </c>
      <c r="H45" s="53" t="s">
        <v>5</v>
      </c>
      <c r="I45" s="57"/>
    </row>
    <row r="47" spans="2:13" ht="29.1" customHeight="1" x14ac:dyDescent="0.25"/>
    <row r="48" spans="2:13" ht="12" customHeight="1" x14ac:dyDescent="0.25">
      <c r="E48" s="58" t="s">
        <v>84</v>
      </c>
      <c r="F48" s="58"/>
      <c r="G48" s="58"/>
      <c r="H48" s="58"/>
    </row>
    <row r="49" spans="2:10" ht="28.5" customHeight="1" x14ac:dyDescent="0.25"/>
    <row r="50" spans="2:10" s="4" customFormat="1" ht="21" customHeight="1" x14ac:dyDescent="0.25">
      <c r="B50"/>
      <c r="C50"/>
      <c r="D50"/>
      <c r="E50"/>
      <c r="F50"/>
      <c r="G50"/>
      <c r="H50"/>
      <c r="I50"/>
      <c r="J50"/>
    </row>
    <row r="51" spans="2:10" s="4" customFormat="1" ht="12" customHeight="1" x14ac:dyDescent="0.25">
      <c r="B51"/>
      <c r="C51"/>
      <c r="D51"/>
      <c r="E51"/>
      <c r="F51"/>
      <c r="G51"/>
      <c r="H51"/>
      <c r="I51"/>
      <c r="J51"/>
    </row>
  </sheetData>
  <sheetProtection algorithmName="SHA-512" hashValue="6dvPijyAfyvRmc04TVbyWn0YWs0XXzVoCj/2JvKcimJCqL+LtHhla8LwiPRXa+137YKaB673fK5J2C4h2IXejA==" saltValue="W+tKXYEGjqbzBQrRMxKF/g==" spinCount="100000" sheet="1" objects="1" scenarios="1"/>
  <mergeCells count="10">
    <mergeCell ref="E48:H48"/>
    <mergeCell ref="B30:J34"/>
    <mergeCell ref="B6:J6"/>
    <mergeCell ref="B4:J4"/>
    <mergeCell ref="C10:J13"/>
    <mergeCell ref="B19:J21"/>
    <mergeCell ref="C41:E41"/>
    <mergeCell ref="B25:J26"/>
    <mergeCell ref="C14:J15"/>
    <mergeCell ref="G41:I41"/>
  </mergeCells>
  <pageMargins left="0.55118110236220474" right="0.19685039370078741" top="0" bottom="0" header="0" footer="0"/>
  <pageSetup paperSize="9" orientation="portrait" r:id="rId1"/>
  <drawing r:id="rId2"/>
  <legacyDrawing r:id="rId3"/>
  <controls>
    <mc:AlternateContent xmlns:mc="http://schemas.openxmlformats.org/markup-compatibility/2006">
      <mc:Choice Requires="x14">
        <control shapeId="4097" r:id="rId4" name="btRegresar">
          <controlPr defaultSize="0" autoLine="0" r:id="rId5">
            <anchor moveWithCells="1">
              <from>
                <xdr:col>11</xdr:col>
                <xdr:colOff>266700</xdr:colOff>
                <xdr:row>2</xdr:row>
                <xdr:rowOff>0</xdr:rowOff>
              </from>
              <to>
                <xdr:col>13</xdr:col>
                <xdr:colOff>323850</xdr:colOff>
                <xdr:row>3</xdr:row>
                <xdr:rowOff>171450</xdr:rowOff>
              </to>
            </anchor>
          </controlPr>
        </control>
      </mc:Choice>
      <mc:Fallback>
        <control shapeId="4097" r:id="rId4" name="btRegresar"/>
      </mc:Fallback>
    </mc:AlternateContent>
    <mc:AlternateContent xmlns:mc="http://schemas.openxmlformats.org/markup-compatibility/2006">
      <mc:Choice Requires="x14">
        <control shapeId="4098" r:id="rId6" name="btFechaRenovacion">
          <controlPr defaultSize="0" autoLine="0" autoPict="0" r:id="rId7">
            <anchor moveWithCells="1">
              <from>
                <xdr:col>11</xdr:col>
                <xdr:colOff>647700</xdr:colOff>
                <xdr:row>32</xdr:row>
                <xdr:rowOff>123825</xdr:rowOff>
              </from>
              <to>
                <xdr:col>13</xdr:col>
                <xdr:colOff>876300</xdr:colOff>
                <xdr:row>36</xdr:row>
                <xdr:rowOff>19050</xdr:rowOff>
              </to>
            </anchor>
          </controlPr>
        </control>
      </mc:Choice>
      <mc:Fallback>
        <control shapeId="4098" r:id="rId6" name="btFechaRenovac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dimension ref="A1:K35"/>
  <sheetViews>
    <sheetView showGridLines="0" workbookViewId="0">
      <selection activeCell="I29" sqref="I29"/>
    </sheetView>
  </sheetViews>
  <sheetFormatPr baseColWidth="10" defaultRowHeight="15" x14ac:dyDescent="0.25"/>
  <cols>
    <col min="1" max="1" width="2.85546875" customWidth="1"/>
    <col min="2" max="2" width="25" style="17" customWidth="1"/>
    <col min="3" max="3" width="2.85546875" style="17" customWidth="1"/>
    <col min="4" max="4" width="27.5703125" style="17" customWidth="1"/>
    <col min="5" max="5" width="4" style="17" customWidth="1"/>
    <col min="6" max="6" width="10.7109375" style="17" customWidth="1"/>
    <col min="7" max="7" width="2.5703125" style="17" customWidth="1"/>
    <col min="8" max="8" width="10.7109375" style="17" customWidth="1"/>
    <col min="10" max="10" width="17.140625" customWidth="1"/>
  </cols>
  <sheetData>
    <row r="1" spans="1:8" x14ac:dyDescent="0.25">
      <c r="B1" s="17" t="s">
        <v>33</v>
      </c>
    </row>
    <row r="3" spans="1:8" x14ac:dyDescent="0.25">
      <c r="A3" s="67" t="s">
        <v>28</v>
      </c>
      <c r="B3" s="67"/>
      <c r="C3" s="67"/>
      <c r="D3" s="67"/>
      <c r="E3" s="67"/>
      <c r="F3" s="67"/>
      <c r="G3" s="67"/>
      <c r="H3" s="67"/>
    </row>
    <row r="4" spans="1:8" x14ac:dyDescent="0.25">
      <c r="A4" s="67" t="s">
        <v>15</v>
      </c>
      <c r="B4" s="67"/>
      <c r="C4" s="67"/>
      <c r="D4" s="67"/>
      <c r="E4" s="67"/>
      <c r="F4" s="67"/>
      <c r="G4" s="67"/>
      <c r="H4" s="67"/>
    </row>
    <row r="5" spans="1:8" x14ac:dyDescent="0.25">
      <c r="B5" s="16"/>
      <c r="C5" s="16"/>
      <c r="D5" s="16"/>
      <c r="E5" s="16"/>
      <c r="F5" s="16"/>
      <c r="G5" s="16"/>
      <c r="H5" s="16"/>
    </row>
    <row r="6" spans="1:8" x14ac:dyDescent="0.25">
      <c r="B6" s="17" t="s">
        <v>30</v>
      </c>
      <c r="C6" s="17" t="s">
        <v>5</v>
      </c>
      <c r="D6" s="20"/>
      <c r="F6" s="17" t="s">
        <v>32</v>
      </c>
      <c r="G6" s="17" t="s">
        <v>5</v>
      </c>
      <c r="H6" s="21" t="s">
        <v>92</v>
      </c>
    </row>
    <row r="7" spans="1:8" ht="15" customHeight="1" x14ac:dyDescent="0.25">
      <c r="B7" s="17" t="s">
        <v>31</v>
      </c>
      <c r="C7" s="17" t="s">
        <v>5</v>
      </c>
      <c r="D7" s="68"/>
      <c r="E7" s="68"/>
      <c r="F7" s="17" t="s">
        <v>29</v>
      </c>
      <c r="G7" s="17" t="s">
        <v>5</v>
      </c>
      <c r="H7" s="22" t="s">
        <v>92</v>
      </c>
    </row>
    <row r="8" spans="1:8" x14ac:dyDescent="0.25">
      <c r="D8" s="68"/>
      <c r="E8" s="68"/>
    </row>
    <row r="9" spans="1:8" x14ac:dyDescent="0.25">
      <c r="B9" s="18" t="s">
        <v>16</v>
      </c>
      <c r="C9" s="18"/>
    </row>
    <row r="10" spans="1:8" ht="7.5" customHeight="1" x14ac:dyDescent="0.25"/>
    <row r="11" spans="1:8" x14ac:dyDescent="0.25">
      <c r="B11" s="17" t="s">
        <v>17</v>
      </c>
      <c r="C11" s="17" t="s">
        <v>5</v>
      </c>
      <c r="D11" s="17" t="str">
        <f>+APROB_CSOCIO</f>
        <v/>
      </c>
    </row>
    <row r="12" spans="1:8" x14ac:dyDescent="0.25">
      <c r="B12" s="17" t="s">
        <v>18</v>
      </c>
      <c r="C12" s="17" t="s">
        <v>5</v>
      </c>
      <c r="D12" s="17">
        <f>+APROB_NOMBRE</f>
        <v>0</v>
      </c>
    </row>
    <row r="13" spans="1:8" x14ac:dyDescent="0.25">
      <c r="B13" s="17" t="s">
        <v>19</v>
      </c>
      <c r="C13" s="17" t="s">
        <v>5</v>
      </c>
      <c r="D13" s="21" t="s">
        <v>92</v>
      </c>
    </row>
    <row r="14" spans="1:8" x14ac:dyDescent="0.25">
      <c r="B14" s="17" t="s">
        <v>7</v>
      </c>
      <c r="C14" s="17" t="s">
        <v>5</v>
      </c>
      <c r="D14" s="21" t="s">
        <v>92</v>
      </c>
    </row>
    <row r="15" spans="1:8" x14ac:dyDescent="0.25">
      <c r="B15" s="17" t="s">
        <v>6</v>
      </c>
      <c r="C15" s="17" t="s">
        <v>5</v>
      </c>
      <c r="D15" s="23" t="s">
        <v>92</v>
      </c>
    </row>
    <row r="16" spans="1:8" x14ac:dyDescent="0.25">
      <c r="B16" s="17" t="s">
        <v>20</v>
      </c>
      <c r="C16" s="17" t="s">
        <v>5</v>
      </c>
      <c r="D16" s="21" t="s">
        <v>92</v>
      </c>
    </row>
    <row r="17" spans="2:11" x14ac:dyDescent="0.25">
      <c r="B17" s="17" t="s">
        <v>8</v>
      </c>
      <c r="C17" s="17" t="s">
        <v>5</v>
      </c>
      <c r="D17" s="21" t="s">
        <v>92</v>
      </c>
    </row>
    <row r="18" spans="2:11" ht="50.1" customHeight="1" x14ac:dyDescent="0.7">
      <c r="B18" s="31" t="s">
        <v>21</v>
      </c>
      <c r="C18" s="31" t="s">
        <v>5</v>
      </c>
      <c r="D18" s="69" t="s">
        <v>92</v>
      </c>
      <c r="E18" s="69"/>
      <c r="F18" s="69"/>
      <c r="G18" s="69"/>
      <c r="H18" s="69"/>
      <c r="K18" s="29" t="s">
        <v>67</v>
      </c>
    </row>
    <row r="20" spans="2:11" x14ac:dyDescent="0.25">
      <c r="B20" s="18" t="s">
        <v>22</v>
      </c>
      <c r="C20" s="18"/>
    </row>
    <row r="21" spans="2:11" ht="6.75" customHeight="1" x14ac:dyDescent="0.25">
      <c r="B21" s="18"/>
      <c r="C21" s="18"/>
    </row>
    <row r="22" spans="2:11" x14ac:dyDescent="0.25">
      <c r="B22" s="17" t="s">
        <v>23</v>
      </c>
      <c r="C22" s="17" t="s">
        <v>5</v>
      </c>
      <c r="D22" s="17" t="str">
        <f>+APROB_RENOV</f>
        <v/>
      </c>
    </row>
    <row r="23" spans="2:11" x14ac:dyDescent="0.25">
      <c r="B23" s="17" t="s">
        <v>24</v>
      </c>
      <c r="C23" s="17" t="s">
        <v>5</v>
      </c>
    </row>
    <row r="24" spans="2:11" x14ac:dyDescent="0.25">
      <c r="B24" s="17" t="s">
        <v>25</v>
      </c>
      <c r="C24" s="17" t="s">
        <v>5</v>
      </c>
    </row>
    <row r="25" spans="2:11" x14ac:dyDescent="0.25">
      <c r="B25" s="17" t="s">
        <v>8</v>
      </c>
      <c r="C25" s="17" t="s">
        <v>5</v>
      </c>
      <c r="D25" s="17" t="str">
        <f>+APROB_TEA</f>
        <v/>
      </c>
    </row>
    <row r="26" spans="2:11" ht="50.1" customHeight="1" x14ac:dyDescent="0.25">
      <c r="B26" s="31" t="s">
        <v>21</v>
      </c>
      <c r="C26" s="31" t="s">
        <v>5</v>
      </c>
      <c r="D26" s="68" t="str">
        <f>+APROB_GARANTIA</f>
        <v/>
      </c>
      <c r="E26" s="68"/>
      <c r="F26" s="68"/>
      <c r="G26" s="68"/>
      <c r="H26" s="68"/>
    </row>
    <row r="32" spans="2:11" x14ac:dyDescent="0.25">
      <c r="C32" s="24"/>
      <c r="D32" s="24"/>
    </row>
    <row r="33" spans="1:8" x14ac:dyDescent="0.25">
      <c r="A33" s="66" t="s">
        <v>26</v>
      </c>
      <c r="B33" s="66"/>
      <c r="C33" s="66"/>
      <c r="D33" s="66"/>
      <c r="E33" s="66"/>
      <c r="F33" s="66"/>
      <c r="G33" s="66"/>
      <c r="H33" s="66"/>
    </row>
    <row r="35" spans="1:8" x14ac:dyDescent="0.25">
      <c r="B35" s="17" t="s">
        <v>27</v>
      </c>
    </row>
  </sheetData>
  <sheetProtection algorithmName="SHA-512" hashValue="TvM6Zn9SJ5nXiF9Zkb278CwSvZDv84BzNka2yw8vukLMWRU62m6igtV87px25WnqpNoQsXe0a50ptJx2n8tBsw==" saltValue="4YcDClAPifLJlPa0EKb3/w==" spinCount="100000" sheet="1" objects="1" scenarios="1"/>
  <mergeCells count="6">
    <mergeCell ref="A33:H33"/>
    <mergeCell ref="A3:H3"/>
    <mergeCell ref="A4:H4"/>
    <mergeCell ref="D7:E8"/>
    <mergeCell ref="D26:H26"/>
    <mergeCell ref="D18:H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10</xdr:col>
                <xdr:colOff>161925</xdr:colOff>
                <xdr:row>2</xdr:row>
                <xdr:rowOff>0</xdr:rowOff>
              </from>
              <to>
                <xdr:col>12</xdr:col>
                <xdr:colOff>219075</xdr:colOff>
                <xdr:row>4</xdr:row>
                <xdr:rowOff>76200</xdr:rowOff>
              </to>
            </anchor>
          </controlPr>
        </control>
      </mc:Choice>
      <mc:Fallback>
        <control shapeId="7169"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K42"/>
  <sheetViews>
    <sheetView showGridLines="0" topLeftCell="A4" workbookViewId="0">
      <selection activeCell="I29" sqref="I29"/>
    </sheetView>
  </sheetViews>
  <sheetFormatPr baseColWidth="10" defaultRowHeight="15" x14ac:dyDescent="0.25"/>
  <cols>
    <col min="1" max="1" width="2.85546875" customWidth="1"/>
    <col min="2" max="2" width="25" style="17" customWidth="1"/>
    <col min="3" max="3" width="2.85546875" style="17" customWidth="1"/>
    <col min="4" max="4" width="27.5703125" style="17" customWidth="1"/>
    <col min="5" max="5" width="4" style="17" customWidth="1"/>
    <col min="6" max="6" width="10.7109375" style="17" customWidth="1"/>
    <col min="7" max="7" width="2.5703125" style="17" customWidth="1"/>
    <col min="8" max="8" width="10.7109375" style="17" customWidth="1"/>
    <col min="10" max="10" width="17.140625" customWidth="1"/>
  </cols>
  <sheetData>
    <row r="1" spans="1:11" x14ac:dyDescent="0.25">
      <c r="B1" s="17" t="s">
        <v>33</v>
      </c>
    </row>
    <row r="3" spans="1:11" x14ac:dyDescent="0.25">
      <c r="A3" s="67" t="s">
        <v>56</v>
      </c>
      <c r="B3" s="67"/>
      <c r="C3" s="67"/>
      <c r="D3" s="67"/>
      <c r="E3" s="67"/>
      <c r="F3" s="67"/>
      <c r="G3" s="67"/>
      <c r="H3" s="67"/>
    </row>
    <row r="4" spans="1:11" x14ac:dyDescent="0.25">
      <c r="A4" s="67" t="s">
        <v>15</v>
      </c>
      <c r="B4" s="67"/>
      <c r="C4" s="67"/>
      <c r="D4" s="67"/>
      <c r="E4" s="67"/>
      <c r="F4" s="67"/>
      <c r="G4" s="67"/>
      <c r="H4" s="67"/>
    </row>
    <row r="5" spans="1:11" x14ac:dyDescent="0.25">
      <c r="B5" s="16"/>
      <c r="C5" s="16"/>
      <c r="D5" s="16"/>
      <c r="E5" s="16"/>
      <c r="F5" s="16"/>
      <c r="G5" s="16"/>
      <c r="H5" s="16"/>
    </row>
    <row r="6" spans="1:11" x14ac:dyDescent="0.25">
      <c r="B6" s="17" t="s">
        <v>30</v>
      </c>
      <c r="C6" s="17" t="s">
        <v>5</v>
      </c>
      <c r="D6" s="20"/>
      <c r="F6" s="17" t="s">
        <v>32</v>
      </c>
      <c r="G6" s="17" t="s">
        <v>5</v>
      </c>
      <c r="H6" s="21" t="s">
        <v>92</v>
      </c>
    </row>
    <row r="7" spans="1:11" ht="15" customHeight="1" x14ac:dyDescent="0.25">
      <c r="B7" s="17" t="s">
        <v>31</v>
      </c>
      <c r="C7" s="17" t="s">
        <v>5</v>
      </c>
      <c r="D7" s="68"/>
      <c r="E7" s="68"/>
      <c r="F7" s="17" t="s">
        <v>29</v>
      </c>
      <c r="G7" s="17" t="s">
        <v>5</v>
      </c>
      <c r="H7" s="22" t="s">
        <v>92</v>
      </c>
      <c r="K7" s="28"/>
    </row>
    <row r="8" spans="1:11" x14ac:dyDescent="0.25">
      <c r="D8" s="68"/>
      <c r="E8" s="68"/>
    </row>
    <row r="9" spans="1:11" x14ac:dyDescent="0.25">
      <c r="B9" s="18" t="s">
        <v>16</v>
      </c>
      <c r="C9" s="18"/>
    </row>
    <row r="10" spans="1:11" ht="7.5" customHeight="1" x14ac:dyDescent="0.25"/>
    <row r="11" spans="1:11" x14ac:dyDescent="0.25">
      <c r="B11" s="17" t="s">
        <v>17</v>
      </c>
      <c r="C11" s="17" t="s">
        <v>5</v>
      </c>
      <c r="D11" s="17" t="str">
        <f>+APROB_CSOCIO</f>
        <v/>
      </c>
    </row>
    <row r="12" spans="1:11" x14ac:dyDescent="0.25">
      <c r="B12" s="17" t="s">
        <v>18</v>
      </c>
      <c r="C12" s="17" t="s">
        <v>5</v>
      </c>
      <c r="D12" s="17">
        <f>+APROB_NOMBRE</f>
        <v>0</v>
      </c>
    </row>
    <row r="13" spans="1:11" x14ac:dyDescent="0.25">
      <c r="B13" s="17" t="s">
        <v>19</v>
      </c>
      <c r="C13" s="17" t="s">
        <v>5</v>
      </c>
      <c r="D13" s="21" t="s">
        <v>92</v>
      </c>
    </row>
    <row r="14" spans="1:11" x14ac:dyDescent="0.25">
      <c r="B14" s="17" t="s">
        <v>7</v>
      </c>
      <c r="C14" s="17" t="s">
        <v>5</v>
      </c>
      <c r="D14" s="21" t="s">
        <v>92</v>
      </c>
    </row>
    <row r="15" spans="1:11" x14ac:dyDescent="0.25">
      <c r="B15" s="17" t="s">
        <v>6</v>
      </c>
      <c r="C15" s="17" t="s">
        <v>5</v>
      </c>
      <c r="D15" s="23" t="s">
        <v>92</v>
      </c>
    </row>
    <row r="16" spans="1:11" x14ac:dyDescent="0.25">
      <c r="B16" s="17" t="s">
        <v>20</v>
      </c>
      <c r="C16" s="17" t="s">
        <v>5</v>
      </c>
      <c r="D16" s="21" t="s">
        <v>92</v>
      </c>
    </row>
    <row r="17" spans="2:11" x14ac:dyDescent="0.25">
      <c r="B17" s="17" t="s">
        <v>8</v>
      </c>
      <c r="C17" s="17" t="s">
        <v>5</v>
      </c>
      <c r="D17" s="21" t="s">
        <v>92</v>
      </c>
    </row>
    <row r="18" spans="2:11" ht="50.1" customHeight="1" x14ac:dyDescent="0.7">
      <c r="B18" s="31" t="s">
        <v>21</v>
      </c>
      <c r="C18" s="31" t="s">
        <v>5</v>
      </c>
      <c r="D18" s="69" t="s">
        <v>92</v>
      </c>
      <c r="E18" s="69"/>
      <c r="F18" s="69"/>
      <c r="G18" s="69"/>
      <c r="H18" s="69"/>
      <c r="K18" s="29" t="s">
        <v>65</v>
      </c>
    </row>
    <row r="20" spans="2:11" x14ac:dyDescent="0.25">
      <c r="B20" s="18" t="s">
        <v>22</v>
      </c>
      <c r="C20" s="18"/>
    </row>
    <row r="21" spans="2:11" ht="6.75" customHeight="1" x14ac:dyDescent="0.25">
      <c r="B21" s="18"/>
      <c r="C21" s="18"/>
    </row>
    <row r="22" spans="2:11" x14ac:dyDescent="0.25">
      <c r="B22" s="17" t="s">
        <v>23</v>
      </c>
      <c r="C22" s="17" t="s">
        <v>5</v>
      </c>
      <c r="D22" s="17" t="str">
        <f>+APROB_RENOV</f>
        <v/>
      </c>
    </row>
    <row r="23" spans="2:11" x14ac:dyDescent="0.25">
      <c r="B23" s="17" t="s">
        <v>24</v>
      </c>
      <c r="C23" s="17" t="s">
        <v>5</v>
      </c>
    </row>
    <row r="24" spans="2:11" x14ac:dyDescent="0.25">
      <c r="B24" s="17" t="s">
        <v>25</v>
      </c>
      <c r="C24" s="17" t="s">
        <v>5</v>
      </c>
    </row>
    <row r="25" spans="2:11" x14ac:dyDescent="0.25">
      <c r="B25" s="17" t="s">
        <v>8</v>
      </c>
      <c r="C25" s="17" t="s">
        <v>5</v>
      </c>
      <c r="D25" s="17" t="str">
        <f>+APROB_TEA</f>
        <v/>
      </c>
    </row>
    <row r="26" spans="2:11" ht="50.1" customHeight="1" x14ac:dyDescent="0.25">
      <c r="B26" s="31" t="s">
        <v>21</v>
      </c>
      <c r="C26" s="31" t="s">
        <v>5</v>
      </c>
      <c r="D26" s="68" t="str">
        <f>+APROB_GARANTIA</f>
        <v/>
      </c>
      <c r="E26" s="68"/>
      <c r="F26" s="68"/>
      <c r="G26" s="68"/>
      <c r="H26" s="68"/>
    </row>
    <row r="28" spans="2:11" x14ac:dyDescent="0.25">
      <c r="B28" s="19" t="s">
        <v>64</v>
      </c>
      <c r="C28" s="19"/>
    </row>
    <row r="29" spans="2:11" x14ac:dyDescent="0.25">
      <c r="B29" s="19"/>
      <c r="C29" s="19"/>
    </row>
    <row r="30" spans="2:11" x14ac:dyDescent="0.25">
      <c r="B30" s="70" t="e">
        <f>CONCATENATE("El Consejo de Administración en sesión", EXTRAORDINARIA," de fecha                        , tomó conocimiento la Renovación de la Línea de Crédito del préstamo ",APROB_PREST," del socio ",APROB_NOMBRE,"  por el plazo de ",LEFT(APROB_PLAZO, LEN(APROB_PLAZO)-5)," a ",APROB_PLAZOT,", contados a partir de la fecha de otorgamiento para ser pagado de acuerdo al cronograma de pagos.")</f>
        <v>#VALUE!</v>
      </c>
      <c r="C30" s="70"/>
      <c r="D30" s="70"/>
      <c r="E30" s="70"/>
      <c r="F30" s="70"/>
      <c r="G30" s="70"/>
      <c r="H30" s="70"/>
    </row>
    <row r="31" spans="2:11" x14ac:dyDescent="0.25">
      <c r="B31" s="70"/>
      <c r="C31" s="70"/>
      <c r="D31" s="70"/>
      <c r="E31" s="70"/>
      <c r="F31" s="70"/>
      <c r="G31" s="70"/>
      <c r="H31" s="70"/>
    </row>
    <row r="32" spans="2:11" x14ac:dyDescent="0.25">
      <c r="B32" s="70"/>
      <c r="C32" s="70"/>
      <c r="D32" s="70"/>
      <c r="E32" s="70"/>
      <c r="F32" s="70"/>
      <c r="G32" s="70"/>
      <c r="H32" s="70"/>
    </row>
    <row r="33" spans="2:8" ht="8.25" customHeight="1" x14ac:dyDescent="0.25">
      <c r="B33" s="70"/>
      <c r="C33" s="70"/>
      <c r="D33" s="70"/>
      <c r="E33" s="70"/>
      <c r="F33" s="70"/>
      <c r="G33" s="70"/>
      <c r="H33" s="70"/>
    </row>
    <row r="38" spans="2:8" x14ac:dyDescent="0.25">
      <c r="D38" s="24"/>
      <c r="F38" s="66"/>
      <c r="G38" s="66"/>
      <c r="H38" s="66"/>
    </row>
    <row r="39" spans="2:8" x14ac:dyDescent="0.25">
      <c r="B39" s="27"/>
      <c r="D39" s="27" t="s">
        <v>57</v>
      </c>
      <c r="F39" s="66"/>
      <c r="G39" s="66"/>
      <c r="H39" s="66"/>
    </row>
    <row r="40" spans="2:8" x14ac:dyDescent="0.25">
      <c r="B40" s="27"/>
      <c r="D40" s="27" t="s">
        <v>62</v>
      </c>
      <c r="F40" s="66"/>
      <c r="G40" s="66"/>
      <c r="H40" s="66"/>
    </row>
    <row r="42" spans="2:8" x14ac:dyDescent="0.25">
      <c r="B42" s="17" t="s">
        <v>27</v>
      </c>
    </row>
  </sheetData>
  <sheetProtection algorithmName="SHA-512" hashValue="GnZZprS1D5nmxoQnxdvooXF4JU6Lof0voWYeycomcJutWg+HJNCRpL2Nm6tonbuMqK3XNy6MqBXnIkJh6bgQlg==" saltValue="sAsrnua3pCBkt/rmc8eI2A==" spinCount="100000" sheet="1" objects="1" scenarios="1"/>
  <mergeCells count="9">
    <mergeCell ref="F39:H39"/>
    <mergeCell ref="F40:H40"/>
    <mergeCell ref="D18:H18"/>
    <mergeCell ref="D26:H26"/>
    <mergeCell ref="A3:H3"/>
    <mergeCell ref="A4:H4"/>
    <mergeCell ref="D7:E8"/>
    <mergeCell ref="B30:H33"/>
    <mergeCell ref="F38:H3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8193" r:id="rId4" name="CommandButton1">
          <controlPr defaultSize="0" autoLine="0" r:id="rId5">
            <anchor moveWithCells="1">
              <from>
                <xdr:col>10</xdr:col>
                <xdr:colOff>161925</xdr:colOff>
                <xdr:row>2</xdr:row>
                <xdr:rowOff>0</xdr:rowOff>
              </from>
              <to>
                <xdr:col>12</xdr:col>
                <xdr:colOff>219075</xdr:colOff>
                <xdr:row>4</xdr:row>
                <xdr:rowOff>76200</xdr:rowOff>
              </to>
            </anchor>
          </controlPr>
        </control>
      </mc:Choice>
      <mc:Fallback>
        <control shapeId="8193"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K42"/>
  <sheetViews>
    <sheetView showGridLines="0" workbookViewId="0">
      <selection activeCell="I29" sqref="I29"/>
    </sheetView>
  </sheetViews>
  <sheetFormatPr baseColWidth="10" defaultRowHeight="15" x14ac:dyDescent="0.25"/>
  <cols>
    <col min="1" max="1" width="2.85546875" customWidth="1"/>
    <col min="2" max="2" width="25" style="17" customWidth="1"/>
    <col min="3" max="3" width="2.85546875" style="17" customWidth="1"/>
    <col min="4" max="4" width="27.5703125" style="17" customWidth="1"/>
    <col min="5" max="5" width="4" style="17" customWidth="1"/>
    <col min="6" max="6" width="10.7109375" style="17" customWidth="1"/>
    <col min="7" max="7" width="2.5703125" style="17" customWidth="1"/>
    <col min="8" max="8" width="10.7109375" style="17" customWidth="1"/>
    <col min="10" max="10" width="17.140625" customWidth="1"/>
  </cols>
  <sheetData>
    <row r="1" spans="1:11" x14ac:dyDescent="0.25">
      <c r="B1" s="17" t="s">
        <v>33</v>
      </c>
    </row>
    <row r="3" spans="1:11" x14ac:dyDescent="0.25">
      <c r="A3" s="67" t="s">
        <v>61</v>
      </c>
      <c r="B3" s="67"/>
      <c r="C3" s="67"/>
      <c r="D3" s="67"/>
      <c r="E3" s="67"/>
      <c r="F3" s="67"/>
      <c r="G3" s="67"/>
      <c r="H3" s="67"/>
    </row>
    <row r="4" spans="1:11" x14ac:dyDescent="0.25">
      <c r="A4" s="67" t="s">
        <v>15</v>
      </c>
      <c r="B4" s="67"/>
      <c r="C4" s="67"/>
      <c r="D4" s="67"/>
      <c r="E4" s="67"/>
      <c r="F4" s="67"/>
      <c r="G4" s="67"/>
      <c r="H4" s="67"/>
    </row>
    <row r="5" spans="1:11" x14ac:dyDescent="0.25">
      <c r="B5" s="16"/>
      <c r="C5" s="16"/>
      <c r="D5" s="16"/>
      <c r="E5" s="16"/>
      <c r="F5" s="16"/>
      <c r="G5" s="16"/>
      <c r="H5" s="16"/>
    </row>
    <row r="6" spans="1:11" x14ac:dyDescent="0.25">
      <c r="B6" s="17" t="s">
        <v>30</v>
      </c>
      <c r="C6" s="17" t="s">
        <v>5</v>
      </c>
      <c r="D6" s="20"/>
      <c r="F6" s="17" t="s">
        <v>32</v>
      </c>
      <c r="G6" s="17" t="s">
        <v>5</v>
      </c>
      <c r="H6" s="21" t="s">
        <v>92</v>
      </c>
    </row>
    <row r="7" spans="1:11" ht="15" customHeight="1" x14ac:dyDescent="0.25">
      <c r="B7" s="17" t="s">
        <v>31</v>
      </c>
      <c r="C7" s="17" t="s">
        <v>5</v>
      </c>
      <c r="D7" s="68"/>
      <c r="E7" s="68"/>
      <c r="F7" s="17" t="s">
        <v>29</v>
      </c>
      <c r="G7" s="17" t="s">
        <v>5</v>
      </c>
      <c r="H7" s="22" t="s">
        <v>92</v>
      </c>
      <c r="K7" s="28"/>
    </row>
    <row r="8" spans="1:11" x14ac:dyDescent="0.25">
      <c r="D8" s="68"/>
      <c r="E8" s="68"/>
    </row>
    <row r="9" spans="1:11" x14ac:dyDescent="0.25">
      <c r="B9" s="18" t="s">
        <v>16</v>
      </c>
      <c r="C9" s="18"/>
    </row>
    <row r="10" spans="1:11" ht="7.5" customHeight="1" x14ac:dyDescent="0.25"/>
    <row r="11" spans="1:11" x14ac:dyDescent="0.25">
      <c r="B11" s="17" t="s">
        <v>17</v>
      </c>
      <c r="C11" s="17" t="s">
        <v>5</v>
      </c>
      <c r="D11" s="17" t="str">
        <f>+APROB_CSOCIO</f>
        <v/>
      </c>
    </row>
    <row r="12" spans="1:11" x14ac:dyDescent="0.25">
      <c r="B12" s="17" t="s">
        <v>18</v>
      </c>
      <c r="C12" s="17" t="s">
        <v>5</v>
      </c>
      <c r="D12" s="17">
        <f>+APROB_NOMBRE</f>
        <v>0</v>
      </c>
    </row>
    <row r="13" spans="1:11" x14ac:dyDescent="0.25">
      <c r="B13" s="17" t="s">
        <v>19</v>
      </c>
      <c r="C13" s="17" t="s">
        <v>5</v>
      </c>
      <c r="D13" s="21" t="s">
        <v>92</v>
      </c>
    </row>
    <row r="14" spans="1:11" x14ac:dyDescent="0.25">
      <c r="B14" s="17" t="s">
        <v>7</v>
      </c>
      <c r="C14" s="17" t="s">
        <v>5</v>
      </c>
      <c r="D14" s="21" t="s">
        <v>92</v>
      </c>
    </row>
    <row r="15" spans="1:11" x14ac:dyDescent="0.25">
      <c r="B15" s="17" t="s">
        <v>6</v>
      </c>
      <c r="C15" s="17" t="s">
        <v>5</v>
      </c>
      <c r="D15" s="23" t="s">
        <v>92</v>
      </c>
    </row>
    <row r="16" spans="1:11" x14ac:dyDescent="0.25">
      <c r="B16" s="17" t="s">
        <v>20</v>
      </c>
      <c r="C16" s="17" t="s">
        <v>5</v>
      </c>
      <c r="D16" s="21" t="s">
        <v>92</v>
      </c>
    </row>
    <row r="17" spans="2:11" x14ac:dyDescent="0.25">
      <c r="B17" s="17" t="s">
        <v>8</v>
      </c>
      <c r="C17" s="17" t="s">
        <v>5</v>
      </c>
      <c r="D17" s="21" t="s">
        <v>92</v>
      </c>
    </row>
    <row r="18" spans="2:11" ht="50.1" customHeight="1" x14ac:dyDescent="0.7">
      <c r="B18" s="31" t="s">
        <v>21</v>
      </c>
      <c r="C18" s="31" t="s">
        <v>5</v>
      </c>
      <c r="D18" s="69" t="s">
        <v>92</v>
      </c>
      <c r="E18" s="69"/>
      <c r="F18" s="69"/>
      <c r="G18" s="69"/>
      <c r="H18" s="69"/>
      <c r="K18" s="29" t="s">
        <v>66</v>
      </c>
    </row>
    <row r="20" spans="2:11" x14ac:dyDescent="0.25">
      <c r="B20" s="18" t="s">
        <v>22</v>
      </c>
      <c r="C20" s="18"/>
    </row>
    <row r="21" spans="2:11" ht="6.75" customHeight="1" x14ac:dyDescent="0.25">
      <c r="B21" s="18"/>
      <c r="C21" s="18"/>
    </row>
    <row r="22" spans="2:11" x14ac:dyDescent="0.25">
      <c r="B22" s="17" t="s">
        <v>23</v>
      </c>
      <c r="C22" s="17" t="s">
        <v>5</v>
      </c>
      <c r="D22" s="17" t="str">
        <f>+APROB_RENOV</f>
        <v/>
      </c>
    </row>
    <row r="23" spans="2:11" x14ac:dyDescent="0.25">
      <c r="B23" s="17" t="s">
        <v>24</v>
      </c>
      <c r="C23" s="17" t="s">
        <v>5</v>
      </c>
    </row>
    <row r="24" spans="2:11" x14ac:dyDescent="0.25">
      <c r="B24" s="17" t="s">
        <v>25</v>
      </c>
      <c r="C24" s="17" t="s">
        <v>5</v>
      </c>
    </row>
    <row r="25" spans="2:11" x14ac:dyDescent="0.25">
      <c r="B25" s="17" t="s">
        <v>8</v>
      </c>
      <c r="C25" s="17" t="s">
        <v>5</v>
      </c>
      <c r="D25" s="17" t="str">
        <f>+APROB_TEA</f>
        <v/>
      </c>
    </row>
    <row r="26" spans="2:11" ht="50.1" customHeight="1" x14ac:dyDescent="0.25">
      <c r="B26" s="31" t="s">
        <v>21</v>
      </c>
      <c r="C26" s="31" t="s">
        <v>5</v>
      </c>
      <c r="D26" s="68" t="str">
        <f>+APROB_GARANTIA</f>
        <v/>
      </c>
      <c r="E26" s="68"/>
      <c r="F26" s="68"/>
      <c r="G26" s="68"/>
      <c r="H26" s="68"/>
    </row>
    <row r="28" spans="2:11" x14ac:dyDescent="0.25">
      <c r="B28" s="19" t="s">
        <v>63</v>
      </c>
      <c r="C28" s="19"/>
    </row>
    <row r="29" spans="2:11" x14ac:dyDescent="0.25">
      <c r="B29" s="19"/>
      <c r="C29" s="19"/>
    </row>
    <row r="30" spans="2:11" x14ac:dyDescent="0.25">
      <c r="B30" s="70" t="e">
        <f>CONCATENATE("El Comité de Crédito en sesión", EXTRAORDINARIA," de fecha                        , tomó conocimiento la Renovación de la Línea de Crédito del préstamo ",APROB_PREST," del socio ",APROB_NOMBRE,"  por el plazo de ",LEFT(APROB_PLAZO, LEN(APROB_PLAZO)-5)," a ",APROB_PLAZOT,", contados a partir de la fecha de otorgamiento para ser pagado de acuerdo al cronograma de pagos.")</f>
        <v>#VALUE!</v>
      </c>
      <c r="C30" s="70"/>
      <c r="D30" s="70"/>
      <c r="E30" s="70"/>
      <c r="F30" s="70"/>
      <c r="G30" s="70"/>
      <c r="H30" s="70"/>
    </row>
    <row r="31" spans="2:11" x14ac:dyDescent="0.25">
      <c r="B31" s="70"/>
      <c r="C31" s="70"/>
      <c r="D31" s="70"/>
      <c r="E31" s="70"/>
      <c r="F31" s="70"/>
      <c r="G31" s="70"/>
      <c r="H31" s="70"/>
    </row>
    <row r="32" spans="2:11" x14ac:dyDescent="0.25">
      <c r="B32" s="70"/>
      <c r="C32" s="70"/>
      <c r="D32" s="70"/>
      <c r="E32" s="70"/>
      <c r="F32" s="70"/>
      <c r="G32" s="70"/>
      <c r="H32" s="70"/>
    </row>
    <row r="33" spans="2:8" ht="8.25" customHeight="1" x14ac:dyDescent="0.25">
      <c r="B33" s="70"/>
      <c r="C33" s="70"/>
      <c r="D33" s="70"/>
      <c r="E33" s="70"/>
      <c r="F33" s="70"/>
      <c r="G33" s="70"/>
      <c r="H33" s="70"/>
    </row>
    <row r="38" spans="2:8" x14ac:dyDescent="0.25">
      <c r="B38" s="24"/>
      <c r="D38" s="24"/>
      <c r="F38" s="72"/>
      <c r="G38" s="72"/>
      <c r="H38" s="72"/>
    </row>
    <row r="39" spans="2:8" x14ac:dyDescent="0.25">
      <c r="B39" s="27" t="s">
        <v>57</v>
      </c>
      <c r="D39" s="27" t="s">
        <v>58</v>
      </c>
      <c r="F39" s="71" t="s">
        <v>59</v>
      </c>
      <c r="G39" s="71"/>
      <c r="H39" s="71"/>
    </row>
    <row r="40" spans="2:8" x14ac:dyDescent="0.25">
      <c r="B40" s="27" t="s">
        <v>60</v>
      </c>
      <c r="D40" s="27" t="s">
        <v>60</v>
      </c>
      <c r="F40" s="66" t="s">
        <v>60</v>
      </c>
      <c r="G40" s="66"/>
      <c r="H40" s="66"/>
    </row>
    <row r="42" spans="2:8" x14ac:dyDescent="0.25">
      <c r="B42" s="17" t="s">
        <v>27</v>
      </c>
    </row>
  </sheetData>
  <sheetProtection algorithmName="SHA-512" hashValue="EIei+aZyaDxZ6dy8RJLPQAHaCeLHZu8GorDeGmLEznjUZf/R9EiQJ1M7rgDUkDYxI+U7Dk92clrO2Ws30MePNA==" saltValue="Mw2cUL4QbtDjarAWjoXyKg==" spinCount="100000" sheet="1" objects="1" scenarios="1"/>
  <mergeCells count="9">
    <mergeCell ref="F39:H39"/>
    <mergeCell ref="F40:H40"/>
    <mergeCell ref="D18:H18"/>
    <mergeCell ref="D26:H26"/>
    <mergeCell ref="A3:H3"/>
    <mergeCell ref="A4:H4"/>
    <mergeCell ref="D7:E8"/>
    <mergeCell ref="B30:H33"/>
    <mergeCell ref="F38:H3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3313" r:id="rId4" name="CommandButton1">
          <controlPr defaultSize="0" autoLine="0" r:id="rId5">
            <anchor moveWithCells="1">
              <from>
                <xdr:col>10</xdr:col>
                <xdr:colOff>161925</xdr:colOff>
                <xdr:row>2</xdr:row>
                <xdr:rowOff>0</xdr:rowOff>
              </from>
              <to>
                <xdr:col>12</xdr:col>
                <xdr:colOff>219075</xdr:colOff>
                <xdr:row>4</xdr:row>
                <xdr:rowOff>76200</xdr:rowOff>
              </to>
            </anchor>
          </controlPr>
        </control>
      </mc:Choice>
      <mc:Fallback>
        <control shapeId="1331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77</vt:i4>
      </vt:variant>
    </vt:vector>
  </HeadingPairs>
  <TitlesOfParts>
    <vt:vector size="85" baseType="lpstr">
      <vt:lpstr>CHECK</vt:lpstr>
      <vt:lpstr>INICIO</vt:lpstr>
      <vt:lpstr>HISTORICO</vt:lpstr>
      <vt:lpstr>HISTORICO_TEMP</vt:lpstr>
      <vt:lpstr>ADENDA</vt:lpstr>
      <vt:lpstr>APROB FUNCIONARIO</vt:lpstr>
      <vt:lpstr>APROB CONSEJO</vt:lpstr>
      <vt:lpstr>APROB COMITE</vt:lpstr>
      <vt:lpstr>ADENDA_DIRECCION_C</vt:lpstr>
      <vt:lpstr>ADENDA_DIRECCION_S</vt:lpstr>
      <vt:lpstr>ADENDA_DNI_C</vt:lpstr>
      <vt:lpstr>ADENDA_DNI_S</vt:lpstr>
      <vt:lpstr>ADENDA_ESTADO_C</vt:lpstr>
      <vt:lpstr>ADENDA_ESTADO_S</vt:lpstr>
      <vt:lpstr>ADENDA_NOMBRE_C</vt:lpstr>
      <vt:lpstr>ADENDA_NOMBRE_S</vt:lpstr>
      <vt:lpstr>ADENDA1</vt:lpstr>
      <vt:lpstr>ADENDA1.1</vt:lpstr>
      <vt:lpstr>ADENDA1.2</vt:lpstr>
      <vt:lpstr>ADENDA2</vt:lpstr>
      <vt:lpstr>'APROB COMITE'!APROB_CSOCIO</vt:lpstr>
      <vt:lpstr>'APROB CONSEJO'!APROB_CSOCIO</vt:lpstr>
      <vt:lpstr>APROB_CSOCIO</vt:lpstr>
      <vt:lpstr>'APROB COMITE'!APROB_CSOCIO2</vt:lpstr>
      <vt:lpstr>'APROB CONSEJO'!APROB_CSOCIO2</vt:lpstr>
      <vt:lpstr>APROB_CSOCIO2</vt:lpstr>
      <vt:lpstr>'APROB COMITE'!APROB_GARANTIA</vt:lpstr>
      <vt:lpstr>'APROB CONSEJO'!APROB_GARANTIA</vt:lpstr>
      <vt:lpstr>APROB_GARANTIA</vt:lpstr>
      <vt:lpstr>'APROB COMITE'!APROB_MON</vt:lpstr>
      <vt:lpstr>'APROB CONSEJO'!APROB_MON</vt:lpstr>
      <vt:lpstr>APROB_MON</vt:lpstr>
      <vt:lpstr>'APROB COMITE'!APROB_MONTO</vt:lpstr>
      <vt:lpstr>'APROB CONSEJO'!APROB_MONTO</vt:lpstr>
      <vt:lpstr>APROB_MONTO</vt:lpstr>
      <vt:lpstr>'APROB COMITE'!APROB_NOMBRE</vt:lpstr>
      <vt:lpstr>'APROB CONSEJO'!APROB_NOMBRE</vt:lpstr>
      <vt:lpstr>APROB_NOMBRE</vt:lpstr>
      <vt:lpstr>'APROB COMITE'!APROB_NOMBRE2</vt:lpstr>
      <vt:lpstr>'APROB CONSEJO'!APROB_NOMBRE2</vt:lpstr>
      <vt:lpstr>APROB_NOMBRE2</vt:lpstr>
      <vt:lpstr>'APROB COMITE'!APROB_NPLAZO</vt:lpstr>
      <vt:lpstr>'APROB CONSEJO'!APROB_NPLAZO</vt:lpstr>
      <vt:lpstr>APROB_NPLAZO</vt:lpstr>
      <vt:lpstr>'APROB COMITE'!APROB_PLAZO</vt:lpstr>
      <vt:lpstr>'APROB CONSEJO'!APROB_PLAZO</vt:lpstr>
      <vt:lpstr>APROB_PLAZO</vt:lpstr>
      <vt:lpstr>'APROB COMITE'!APROB_PLAZOT</vt:lpstr>
      <vt:lpstr>'APROB CONSEJO'!APROB_PLAZOT</vt:lpstr>
      <vt:lpstr>APROB_PLAZOT</vt:lpstr>
      <vt:lpstr>'APROB COMITE'!APROB_PREST</vt:lpstr>
      <vt:lpstr>'APROB CONSEJO'!APROB_PREST</vt:lpstr>
      <vt:lpstr>APROB_PREST</vt:lpstr>
      <vt:lpstr>'APROB COMITE'!APROB_RENOV</vt:lpstr>
      <vt:lpstr>'APROB CONSEJO'!APROB_RENOV</vt:lpstr>
      <vt:lpstr>APROB_RENOV</vt:lpstr>
      <vt:lpstr>'APROB COMITE'!APROB_RESOLUCION</vt:lpstr>
      <vt:lpstr>APROB_RESOLUCION</vt:lpstr>
      <vt:lpstr>'APROB COMITE'!APROB_SOL</vt:lpstr>
      <vt:lpstr>'APROB CONSEJO'!APROB_SOL</vt:lpstr>
      <vt:lpstr>APROB_SOL</vt:lpstr>
      <vt:lpstr>'APROB COMITE'!APROB_TEA</vt:lpstr>
      <vt:lpstr>'APROB CONSEJO'!APROB_TEA</vt:lpstr>
      <vt:lpstr>APROB_TEA</vt:lpstr>
      <vt:lpstr>ADENDA!Área_de_impresión</vt:lpstr>
      <vt:lpstr>'APROB COMITE'!Área_de_impresión</vt:lpstr>
      <vt:lpstr>'APROB CONSEJO'!Área_de_impresión</vt:lpstr>
      <vt:lpstr>'APROB FUNCIONARIO'!Área_de_impresión</vt:lpstr>
      <vt:lpstr>CALC_FECHAS</vt:lpstr>
      <vt:lpstr>CONYUGE</vt:lpstr>
      <vt:lpstr>CUARTA_CLAUSULA</vt:lpstr>
      <vt:lpstr>dataSet</vt:lpstr>
      <vt:lpstr>'APROB COMITE'!EXTRAORDINARIA</vt:lpstr>
      <vt:lpstr>EXTRAORDINARIA</vt:lpstr>
      <vt:lpstr>FECHA</vt:lpstr>
      <vt:lpstr>FECHA_CONTRATO</vt:lpstr>
      <vt:lpstr>FECHA_DESEMBOLSO</vt:lpstr>
      <vt:lpstr>LINEA_FIRMA_CONYUGE</vt:lpstr>
      <vt:lpstr>NUEVO_PLAZO_DIAS</vt:lpstr>
      <vt:lpstr>PLAZO</vt:lpstr>
      <vt:lpstr>PLAZO_NUEVO</vt:lpstr>
      <vt:lpstr>SOLICITUD</vt:lpstr>
      <vt:lpstr>TMPFECHA</vt:lpstr>
      <vt:lpstr>VENCIMIENTO</vt:lpstr>
      <vt:lpstr>VENCIMIENTO_TARJETA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djhoncon</dc:creator>
  <cp:lastModifiedBy>Kenji Jhoncon</cp:lastModifiedBy>
  <cp:lastPrinted>2019-07-09T13:40:53Z</cp:lastPrinted>
  <dcterms:created xsi:type="dcterms:W3CDTF">2017-06-08T20:59:32Z</dcterms:created>
  <dcterms:modified xsi:type="dcterms:W3CDTF">2020-08-19T15:56:16Z</dcterms:modified>
</cp:coreProperties>
</file>